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uj\OneDrive\Desktop\projeto nutrifit\nutrifit-playwright\docs\"/>
    </mc:Choice>
  </mc:AlternateContent>
  <xr:revisionPtr revIDLastSave="0" documentId="13_ncr:1_{E3CFE0C1-7C05-4BE1-B52E-00D9CCF09FD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sumo" sheetId="1" r:id="rId1"/>
    <sheet name="Casos de Teste" sheetId="3" r:id="rId2"/>
    <sheet name="Defeitos" sheetId="4" r:id="rId3"/>
    <sheet name="Notas de Automacao" sheetId="5" r:id="rId4"/>
  </sheets>
  <definedNames>
    <definedName name="_xlnm._FilterDatabase" localSheetId="1" hidden="1">'Casos de Teste'!$A$5:$L$47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5" i="1"/>
  <c r="B24" i="1"/>
  <c r="B23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<sst xmlns="http://schemas.openxmlformats.org/spreadsheetml/2006/main" count="674" uniqueCount="425">
  <si>
    <t>NutriFit — Plano de Teste e Matriz de Casos de Teste</t>
  </si>
  <si>
    <t>Aplicativo mobile NutriFit | Base: Documento de Requisitos v1.5 (set/2026) + BPMN (Bizagi) | Plano de Teste v1.2</t>
  </si>
  <si>
    <t>Elaborado como parte do portfólio de QA — automação Playwright implementada (26/26 passando)</t>
  </si>
  <si>
    <t>Indicador</t>
  </si>
  <si>
    <t>Valor</t>
  </si>
  <si>
    <t>Total de casos de teste</t>
  </si>
  <si>
    <t>Prioridade: Crítica</t>
  </si>
  <si>
    <t>Prioridade: Alta</t>
  </si>
  <si>
    <t>Prioridade: Média</t>
  </si>
  <si>
    <t>Prioridade: Baixa</t>
  </si>
  <si>
    <t>Casos ligados a Requisitos Ausentes (GAP)</t>
  </si>
  <si>
    <t>Tipo: Funcional</t>
  </si>
  <si>
    <t>Tipo: Não Funcional / Segurança</t>
  </si>
  <si>
    <t>Achados na revisão de requisitos (documentação)</t>
  </si>
  <si>
    <t>Como usar esta planilha:</t>
  </si>
  <si>
    <t>1. Aba 'Achados_Requisitos': revise antes de testar — são inconsistências encontradas no documento de requisitos/BPMN.</t>
  </si>
  <si>
    <t>2. Aba 'Casos de Teste': execute os casos priorizando Crítica &gt; Alta &gt; Média &gt; Baixa.</t>
  </si>
  <si>
    <t>3. Preencha a coluna 'Status' conforme for executando (Passou / Falhou / Bloqueado / Não Executado).</t>
  </si>
  <si>
    <t>4. Casos marcados '[GAP]' testam comportamento esperado para requisitos que o documento não especifica claramente — valide com o time antes.</t>
  </si>
  <si>
    <t>5. Quando for automatizar no Playwright, comece pelos casos de prioridade Crítica.</t>
  </si>
  <si>
    <t>Total de Defeitos Registrados</t>
  </si>
  <si>
    <t>Defeitos Abertos</t>
  </si>
  <si>
    <t>Defeitos Corrigidos</t>
  </si>
  <si>
    <t>Casos com status: Passou</t>
  </si>
  <si>
    <t>Casos com status: Passou (com ressalva)</t>
  </si>
  <si>
    <t>Casos com status: Falhou</t>
  </si>
  <si>
    <t>Casos com status: Não Executado</t>
  </si>
  <si>
    <t>Defeitos de severidade Alta ou Crítica</t>
  </si>
  <si>
    <t>ID</t>
  </si>
  <si>
    <t>Tipo</t>
  </si>
  <si>
    <t>Status</t>
  </si>
  <si>
    <t>Matriz de Casos de Teste — NutriFit</t>
  </si>
  <si>
    <t>Técnicas aplicadas: Caso de Uso, Partição de Equivalência, Valor Limite, Tabela de Decisão, Transição de Estado, Regra de Negócio, Segurança</t>
  </si>
  <si>
    <t>Requisito</t>
  </si>
  <si>
    <t>Título do Caso de Teste</t>
  </si>
  <si>
    <t>Técnica de Teste</t>
  </si>
  <si>
    <t>Prioridade</t>
  </si>
  <si>
    <t>Pré-condição</t>
  </si>
  <si>
    <t>Passos</t>
  </si>
  <si>
    <t>Dados de Entrada</t>
  </si>
  <si>
    <t>Resultado Esperado</t>
  </si>
  <si>
    <t>Observações</t>
  </si>
  <si>
    <t>CT-001</t>
  </si>
  <si>
    <t>RF01/RF02</t>
  </si>
  <si>
    <t>Cadastro com dados válidos</t>
  </si>
  <si>
    <t>Caso de Uso (fluxo principal)</t>
  </si>
  <si>
    <t>Funcional</t>
  </si>
  <si>
    <t>Crítica</t>
  </si>
  <si>
    <t>Usuário não autenticado, acessa tela de cadastro</t>
  </si>
  <si>
    <t>1. Acessar tela de cadastro
2. Preencher nome
3. Informar e-mail válido
4. Informar senha ≥8 caracteres
5. Confirmar</t>
  </si>
  <si>
    <t>Sistema cria a conta e exibe 'Cadastro realizado com sucesso'</t>
  </si>
  <si>
    <t>Passou</t>
  </si>
  <si>
    <t>Testado em 13/08/2026. Conta criada com sucesso, mensagem exibida corretamente. Obs: após o cadastro, o sistema NÃO autenticou automaticamente (RF02 previa isso no critério de aceitação) — usuário foi redirecionado pra tela de login. Divergência leve, não bloqueante.</t>
  </si>
  <si>
    <t>CT-002</t>
  </si>
  <si>
    <t>Cadastro com e-mail já cadastrado</t>
  </si>
  <si>
    <t>Partição de Equivalência (classe inválida)</t>
  </si>
  <si>
    <t>Já existe conta com o e-mail usado</t>
  </si>
  <si>
    <t>1. Repetir cadastro usando e-mail já existente</t>
  </si>
  <si>
    <t>Sistema não cria a conta; exibe 'A user with this email already exists'</t>
  </si>
  <si>
    <t>Testado em 13/08/2026. O sistema teve a ação esperada, após a tentativa de criar uma conta com e-mail já cadastrado o sistema exibiu mensagem em vermelho: A user with this email already exists.</t>
  </si>
  <si>
    <t>CT-003</t>
  </si>
  <si>
    <t>Senha com menos de 8 caracteres</t>
  </si>
  <si>
    <t>Valor Limite (abaixo do limite)</t>
  </si>
  <si>
    <t>1. Preencher cadastro com senha de 7 caracteres
2. Confirmar</t>
  </si>
  <si>
    <t>Senha: Sen123 (7 caracteres)</t>
  </si>
  <si>
    <t>Sistema bloqueia; exibe 'The password must be at least 8 characters'</t>
  </si>
  <si>
    <t>Testado em 14/08/2026. O sistema bloqueou com sucesso a tentativa de cadastro de senha com menos de 7 caracteres.</t>
  </si>
  <si>
    <t>CT-004</t>
  </si>
  <si>
    <t>Senha com exatamente 8 caracteres (limite válido)</t>
  </si>
  <si>
    <t>Valor Limite (no limite)</t>
  </si>
  <si>
    <t>Alta</t>
  </si>
  <si>
    <t>1. Preencher cadastro com senha de exatamente 8 caracteres
2. Confirmar</t>
  </si>
  <si>
    <t>Sistema aceita e cria a conta</t>
  </si>
  <si>
    <t>Testado em 14/08/2026. O sistema aceitou com sucesso a tentativa de cadastro de senha com 8 caractere</t>
  </si>
  <si>
    <t>CT-005</t>
  </si>
  <si>
    <t>E-mail em formato inválido</t>
  </si>
  <si>
    <t>1. Preencher cadastro com e-mail sem formato válido
2. Confirmar</t>
  </si>
  <si>
    <t>Email: araujoguilherme.com (sem @/domínio)</t>
  </si>
  <si>
    <t>Sistema bloqueia; exibe 'Invalid email address'</t>
  </si>
  <si>
    <t>Testado em 15/08/2026. O sistema bloqueou com sucesso a tentativa de cadastro de email com formato inválido</t>
  </si>
  <si>
    <t>CT-006</t>
  </si>
  <si>
    <t>RF02</t>
  </si>
  <si>
    <t>Nome não informado</t>
  </si>
  <si>
    <t>Partição de Equivalência</t>
  </si>
  <si>
    <t>Média</t>
  </si>
  <si>
    <t>1. Preencher cadastro deixando o campo nome vazio
2. Confirmar</t>
  </si>
  <si>
    <t>Nome: (vazio)</t>
  </si>
  <si>
    <t>Sistema bloqueia; exibe ' user name is required'</t>
  </si>
  <si>
    <t>Testado em 15/08/2026. O sistema bloqueou com sucesso a tentativa de cadastro de usuário sem nome</t>
  </si>
  <si>
    <t>CT-007</t>
  </si>
  <si>
    <t>Login com credenciais válidas</t>
  </si>
  <si>
    <t>Caso de Uso (exploratório)</t>
  </si>
  <si>
    <t>Usuário já cadastrado (ex: CT-001)</t>
  </si>
  <si>
    <t>1. Acessar tela de login (BPMN: 'Fazer o Login')
2. Informar e-mail e senha cadastrados
3. Confirmar</t>
  </si>
  <si>
    <t>Email/senha do CT-001</t>
  </si>
  <si>
    <t>Sistema autentica e libera acesso às funcionalidades do usuário</t>
  </si>
  <si>
    <t>Testado em 15/08/2026. O sistema aceitou com sucesso a tentativa de cadastro com credenciais válidas.</t>
  </si>
  <si>
    <t>CT-008</t>
  </si>
  <si>
    <t>Login com senha incorreta</t>
  </si>
  <si>
    <t>Caso de Uso negativo (exploratório)</t>
  </si>
  <si>
    <t>Usuário já cadastrado</t>
  </si>
  <si>
    <t>1. Informar e-mail válido e senha incorreta
2. Confirmar</t>
  </si>
  <si>
    <t>Email correto, senha errada</t>
  </si>
  <si>
    <t>Sistema bloqueia; exibe 'Invalid email or password address'</t>
  </si>
  <si>
    <t>Testado em 16/08/2026. O sistema bloqueou com sucesso a tentativa de login de usuário com a senha inválida.</t>
  </si>
  <si>
    <t>CT-009</t>
  </si>
  <si>
    <t>RF03</t>
  </si>
  <si>
    <t>Edição de perfil nutricional com dados válidos</t>
  </si>
  <si>
    <t>Caso de Uso</t>
  </si>
  <si>
    <t>Usuário autenticado</t>
  </si>
  <si>
    <t>1. Acessar perfil nutricional
2. Preencher peso, altura, idade, objetivo
3. Confirmar</t>
  </si>
  <si>
    <t>Idade:27 |Sexo: Masculino| Peso: 110kg | Meta: 115kg | Altura: 194cm | Objetivo: Ganhar massa | Perfil: Ativo</t>
  </si>
  <si>
    <t>Perfil atualizado</t>
  </si>
  <si>
    <t>Testado em 16/08/2026. O sistema atualizou com sucesso as novas informaçõe do perfil, sem exibir mensagem de confirmação (Divergência leve)</t>
  </si>
  <si>
    <t>CT-010</t>
  </si>
  <si>
    <t>Edição de perfil com campo obrigatório vazio</t>
  </si>
  <si>
    <t>1. Deixar campo peso em branco
2. Confirmar</t>
  </si>
  <si>
    <t>Peso: (vazio)</t>
  </si>
  <si>
    <t>“This field is required.”</t>
  </si>
  <si>
    <t>Falhou</t>
  </si>
  <si>
    <t>Testado em 17/08/2026. O sistema atualizou  as novas informaçõe do perfil, sem exibir mensagem de que o campo 'peso' não foi preenchido (Divergência alta)</t>
  </si>
  <si>
    <t>CT-011</t>
  </si>
  <si>
    <t>RF03/RN05</t>
  </si>
  <si>
    <t>Edição de perfil com dado inconsistente (IMC implausível)</t>
  </si>
  <si>
    <t>Tabela de Decisão</t>
  </si>
  <si>
    <t>1. Informar peso e altura que gerem IMC fora da faixa plausível
2. Confirmar</t>
  </si>
  <si>
    <t>Peso: 900kg | Altura: 1,60m</t>
  </si>
  <si>
    <t>Sistema rejeita; exibe 'invalid value'</t>
  </si>
  <si>
    <t>Testado em 17/08/2026. O sistema atualizou  as novas informaçõe do perfil, sem exibir mensagem de que o peso de 900kg é um dado inválido (Divergência alta)</t>
  </si>
  <si>
    <t>CT-012</t>
  </si>
  <si>
    <t>RF04</t>
  </si>
  <si>
    <t>Seleção de plano com perfil completo</t>
  </si>
  <si>
    <t>Perfil nutricional completo</t>
  </si>
  <si>
    <t>1. Acessar tela de planos
2. Escolher "+Novo" para um plano manual ou um dos planos automáticos (Emagrecimento; Equilibrio Saudável ou Ganho de Massa)
3. Confirmar</t>
  </si>
  <si>
    <t>-</t>
  </si>
  <si>
    <t>Sistema registra a escolha e redireciona corretamente</t>
  </si>
  <si>
    <t>Testado em 18/08/2026. O sistema disponibiliza corretamente os planos já existentes e salva o plano manual corretamente.</t>
  </si>
  <si>
    <t>CT-013</t>
  </si>
  <si>
    <t>Tentativa de seleção de plano com perfil incompleto</t>
  </si>
  <si>
    <t>Perfil nutricional incompleto</t>
  </si>
  <si>
    <t>1. Tentar acessar a tela de planos</t>
  </si>
  <si>
    <t>'Complete seu perfil antes de escolher um plano'</t>
  </si>
  <si>
    <t>Não Executado</t>
  </si>
  <si>
    <t>Caso restaurado em 12/10/2026 (estava ausente da aba, ver Plano de Teste v1.2). Ainda nao executado.</t>
  </si>
  <si>
    <t>CT-014</t>
  </si>
  <si>
    <t>RF05</t>
  </si>
  <si>
    <t>Geração automática com dados suficientes</t>
  </si>
  <si>
    <t>Perfil completo</t>
  </si>
  <si>
    <t>1. Solicitar geração automática do plano</t>
  </si>
  <si>
    <t>Plano exibido corretamente, considerando dados do perfil</t>
  </si>
  <si>
    <t>CT-015</t>
  </si>
  <si>
    <t>RF06</t>
  </si>
  <si>
    <t>Seleção de plano manual disponível</t>
  </si>
  <si>
    <t>Plano manual previamente criado pelo administrador</t>
  </si>
  <si>
    <t>1. Acessar planos disponíveis
2. Selecionar plano manual
3. Confirmar</t>
  </si>
  <si>
    <t>Plano vinculado ao usuário e exibido</t>
  </si>
  <si>
    <t>Testado em 19/08/2026. O sistema disponibiliza corretamente o plano manual na seção "+Novo", com todos os campos nutritivos disponíveis para edição | Nota: o CT-016 do bloco original era duplicata deste caso (mesmo título e passos) e foi removido de forma intencional.</t>
  </si>
  <si>
    <t>CT-017</t>
  </si>
  <si>
    <t>Falha ao vincular plano manual</t>
  </si>
  <si>
    <t>Caso de Uso negativo</t>
  </si>
  <si>
    <t>Simular falha de sistema/inconsistência de dados</t>
  </si>
  <si>
    <t>1. Selecionar plano manual durante falha simulada</t>
  </si>
  <si>
    <t>'Não foi possível selecionar o plano. Tente novamente.' e plano não é vinculado</t>
  </si>
  <si>
    <t>Caso restaurado em 12/10/2026 (estava ausente da aba, ver Plano de Teste v1.2). Ainda nao executado. Depende de simular falha do sistema (pode ficar Bloqueado).</t>
  </si>
  <si>
    <t>CT-018</t>
  </si>
  <si>
    <t>RN02</t>
  </si>
  <si>
    <t>Todo plano manual deve ter um responsável associado</t>
  </si>
  <si>
    <t>Regra de Negócio</t>
  </si>
  <si>
    <t>Plano manual criado</t>
  </si>
  <si>
    <t>1. Verificar que o registro do plano contém o identificador do criador</t>
  </si>
  <si>
    <t>Plano não pode existir sem responsável definido; sistema impede criação sem associação</t>
  </si>
  <si>
    <t>Testado em 19/08/2026. O sistema disponibiliza dentro do plano manual a seção "Atribuido a (usuário)" para selecionar qual usuário será associado a aquela dieta.</t>
  </si>
  <si>
    <t>CT-019</t>
  </si>
  <si>
    <t>RN03</t>
  </si>
  <si>
    <t>Prioridade do plano manual sobre o automático</t>
  </si>
  <si>
    <t>Regra de Negócio / Transição de Estado</t>
  </si>
  <si>
    <t>Usuário com plano automático já gerado</t>
  </si>
  <si>
    <t>1. Vincular um plano manual ao mesmo usuário
2. Verificar qual plano é exibido/usado</t>
  </si>
  <si>
    <t>Sistema passa a exibir e utilizar somente o plano manual; o automático não é aplicado enquanto o manual estiver ativo</t>
  </si>
  <si>
    <t>Testado em 19/08/2026. O sistema disponibiliza dentro de um perfil específico os planos manual e automatico na mesma seção. Divergência leve, não bloqueante</t>
  </si>
  <si>
    <t>CT-020</t>
  </si>
  <si>
    <t>RN04</t>
  </si>
  <si>
    <t>Edição de plano manual por administrador que não é o criador</t>
  </si>
  <si>
    <t>Regra de Negócio (negativo)</t>
  </si>
  <si>
    <t>Segurança/Funcional</t>
  </si>
  <si>
    <t>Plano manual criado pelo Admin A</t>
  </si>
  <si>
    <t>1. Admin B tenta editar o plano criado pelo Admin A</t>
  </si>
  <si>
    <t>Sistema deve bloquear a edição</t>
  </si>
  <si>
    <t>Caso restaurado em 12/10/2026 (estava ausente da aba, ver Plano de Teste v1.2). Ainda nao executado. Exige segunda conta de administrador.</t>
  </si>
  <si>
    <t>CT-021</t>
  </si>
  <si>
    <t>Edição de plano manual por usuário final</t>
  </si>
  <si>
    <t>Plano manual existente</t>
  </si>
  <si>
    <t>1. Usuário final tenta editar o plano manual</t>
  </si>
  <si>
    <t>Sistema deve evitar a disponibilidade de edição do plano manual pelo usuário final</t>
  </si>
  <si>
    <t>Testado em 01/09/2026. O sistema não disponibiliza a opção de alteração do plano manual no perfil de usuário final.</t>
  </si>
  <si>
    <t>CT-022</t>
  </si>
  <si>
    <t>RF07</t>
  </si>
  <si>
    <t>Registro de refeição com dados completos</t>
  </si>
  <si>
    <t>1. Selecionar tipo de refeição
2. Informar alimentos consumidos
3. Confirmar</t>
  </si>
  <si>
    <t>Refeição: almoço | Alimentos: arroz, feijão, frango</t>
  </si>
  <si>
    <t>'Refeição registrada com sucesso'</t>
  </si>
  <si>
    <t>Testado em 19/08/2026. O sistema disponibiliza salvou e registrou corretamente os dados do plano manual</t>
  </si>
  <si>
    <t>CT-023</t>
  </si>
  <si>
    <t>Registro de refeição com dados incompletos</t>
  </si>
  <si>
    <t>1. Confirmar registro sem selecionar alimentos</t>
  </si>
  <si>
    <t>'Preencha os dados da refeição'</t>
  </si>
  <si>
    <t>Testado em 19/08/2026. O sistema não permite que a refeição seja registrada sem o um alimento em específico. OBS: Divergencia leve ao não emitir uma mensgem de aviso.</t>
  </si>
  <si>
    <t>CT-024</t>
  </si>
  <si>
    <t>RF08</t>
  </si>
  <si>
    <t>Visualização de progresso com dados históricos</t>
  </si>
  <si>
    <t>Refeições registradas anteriormente</t>
  </si>
  <si>
    <t>1. Acessar área de progresso</t>
  </si>
  <si>
    <t>Gráficos e indicadores exibidos corretamente</t>
  </si>
  <si>
    <t>Testado em 01/09/2026. O sistema permite ao usuário visualizar seu progresso de acordo com sua meta e registro de refeições.</t>
  </si>
  <si>
    <t>CT-025</t>
  </si>
  <si>
    <t>Visualização de progresso sem dados suficientes</t>
  </si>
  <si>
    <t>Usuário sem refeições registradas</t>
  </si>
  <si>
    <t>'Sem dados suficientes para exibição'</t>
  </si>
  <si>
    <t>Testado em 22/08/2026. O sistema exibe a aba de progresso (sem dados) mesmo que não tenha dados registrado pelo usuário, sem mensagem emitida pelo sistema.</t>
  </si>
  <si>
    <t>CT-026</t>
  </si>
  <si>
    <t>RF09</t>
  </si>
  <si>
    <t>Configuração de notificações válidas</t>
  </si>
  <si>
    <t>1. autorizar notificações</t>
  </si>
  <si>
    <t>Preferência salva</t>
  </si>
  <si>
    <t>Testado em 01/09/2026. O sistema permite ao usuário autenticado ativar a funcionalidade de notificação.</t>
  </si>
  <si>
    <t>CT-027</t>
  </si>
  <si>
    <t>Desativação de notificações</t>
  </si>
  <si>
    <t>Transição de Estado</t>
  </si>
  <si>
    <t>Notificações ativas</t>
  </si>
  <si>
    <t>1. Desativar lembretes</t>
  </si>
  <si>
    <t>Agendamentos cancelados; nenhuma notificação é enviada</t>
  </si>
  <si>
    <t>Testado em 01/09/2026. O sistema permite ao usuário autenticado desativar a funcionalidade de notificação.</t>
  </si>
  <si>
    <t>CT-028</t>
  </si>
  <si>
    <t>Ciclo ativar → desativar → reativar notificações</t>
  </si>
  <si>
    <t>Baixa</t>
  </si>
  <si>
    <t>Notificações configuradas</t>
  </si>
  <si>
    <t>1. Ativar
2. Desativar
3. Reativar</t>
  </si>
  <si>
    <t>Estado final deve refletir corretamente a última ação (reativado)</t>
  </si>
  <si>
    <t>Caso restaurado em 12/10/2026 (estava ausente da aba, ver Plano de Teste v1.2). Ainda nao executado. Requisito corrigido de RF10 para RF09 (notificações).</t>
  </si>
  <si>
    <t>CT-029</t>
  </si>
  <si>
    <t>RF10 / BPMN Diagrama 2</t>
  </si>
  <si>
    <t>Login administrativo com credenciais válidas</t>
  </si>
  <si>
    <t>Conta de administrador existente</t>
  </si>
  <si>
    <t>1. Informar usuário e senha válidos de administrador</t>
  </si>
  <si>
    <t>Acesso liberado ao painel administrativo</t>
  </si>
  <si>
    <t>Testado em 22/08/2026. O sistema acessar normalmente o perfil de administrador que foi criado.</t>
  </si>
  <si>
    <t>CT-030</t>
  </si>
  <si>
    <t>Login administrativo com credenciais inválidas</t>
  </si>
  <si>
    <t>1. Informar credenciais inválidas</t>
  </si>
  <si>
    <t>"Invalid email or password"</t>
  </si>
  <si>
    <t>Testado em 22/08/2026. O sistema exibe a mensagem de "Invalid email or password" quando as credenciais para acessar o perfil estão incorretas.</t>
  </si>
  <si>
    <t>CT-031</t>
  </si>
  <si>
    <t>RF10</t>
  </si>
  <si>
    <t>Gerenciar usuários — criar</t>
  </si>
  <si>
    <t>Admin autenticado</t>
  </si>
  <si>
    <t>1. Selecionar 'Gerenciar usuários'
2. Criar novo usuário</t>
  </si>
  <si>
    <t>'Operação realizada com sucesso'</t>
  </si>
  <si>
    <t>Testado em 22/08/2026. O sistema não possibilita a CRIAÇÃO de um usuário novo. ERRO DE ALTA IMPORTANCIA</t>
  </si>
  <si>
    <t>CT-032</t>
  </si>
  <si>
    <t>Gerenciar usuários — editar</t>
  </si>
  <si>
    <t>Admin autenticado, usuário existente</t>
  </si>
  <si>
    <t>1. Selecionar 'Gerenciar usuários'
2. Editar usuário existente</t>
  </si>
  <si>
    <t>Alterações persistidas; 'Operação realizada com sucesso'</t>
  </si>
  <si>
    <t>Testado em 22/08/2026. O sistema não possibilita a EDIÇÃO de um usuário novo. ERRO DE ALTA IMPORTANCIA</t>
  </si>
  <si>
    <t>CT-033</t>
  </si>
  <si>
    <t>Gerenciar usuários — excluir</t>
  </si>
  <si>
    <t>1. Selecionar 'Gerenciar usuários'
2. Excluir usuário</t>
  </si>
  <si>
    <t>Usuário removido; mensagem de sucesso</t>
  </si>
  <si>
    <t>Testado em 22/08/2026. O sistema não possibilita a EXCLUSÃO de um usuário novo. ERRO DE ALTA IMPORTANCIA</t>
  </si>
  <si>
    <t>CT-034</t>
  </si>
  <si>
    <t>Atualizar base de alimentos com dados inválidos</t>
  </si>
  <si>
    <t>1. Tentar salvar alimento com dado inválido</t>
  </si>
  <si>
    <t>Calorias: -50</t>
  </si>
  <si>
    <t>Sistema não salva; 'Dados inválidos'</t>
  </si>
  <si>
    <t>Testado em 22/08/2026. O sistema permite que dados negativados sejam registrado em um plano alimentar. ERRO DE IMPORTANCIA MÉDIA</t>
  </si>
  <si>
    <t>CT-035</t>
  </si>
  <si>
    <t>Múltiplas ações administrativas em sequência</t>
  </si>
  <si>
    <t>Caso de Uso (loop do BPMN)</t>
  </si>
  <si>
    <t>1. Executar uma ação
2. Escolher 'Sim' em 'Deseja realizar outra ação?'
3. Repetir com ação diferente
4. Escolher 'Não'</t>
  </si>
  <si>
    <t>Cada ação reflete corretamente sem interferência entre si; ao escolher 'Não', sistema atualiza auditoria e finaliza</t>
  </si>
  <si>
    <t>CT-036</t>
  </si>
  <si>
    <t>RNF01</t>
  </si>
  <si>
    <t>Usuário final tenta acessar rota administrativa diretamente pela URL</t>
  </si>
  <si>
    <t>Segurança (Controle de Acesso)</t>
  </si>
  <si>
    <t>Não Funcional/Segurança</t>
  </si>
  <si>
    <t>Usuário final autenticado (não admin)</t>
  </si>
  <si>
    <t>1. Tentar navegar diretamente para a URL do painel administrativo</t>
  </si>
  <si>
    <t>Acesso deve ser bloqueado/redirecionado</t>
  </si>
  <si>
    <t>Testado em 22/08/2026. O sistema não possibilita que o perfil ADM seja acessado pelo usuário final.</t>
  </si>
  <si>
    <t>CT-037</t>
  </si>
  <si>
    <t>Administrador acessa todas as funcionalidades permitidas</t>
  </si>
  <si>
    <t>Não Funcional</t>
  </si>
  <si>
    <t>1. Navegar por todas as opções do painel administrativo</t>
  </si>
  <si>
    <t>Nenhum bloqueio indevido</t>
  </si>
  <si>
    <t>CT-038</t>
  </si>
  <si>
    <t>RNF02</t>
  </si>
  <si>
    <t>Tempo de resposta de ações críticas</t>
  </si>
  <si>
    <t>Teste de Performance</t>
  </si>
  <si>
    <t>1. Medir tempo de resposta do login, cadastro e geração de plano</t>
  </si>
  <si>
    <t>Tempo de resposta ≤ 3 segundos (ideal ≤ 2s)</t>
  </si>
  <si>
    <t>CT-039</t>
  </si>
  <si>
    <t>RNF03</t>
  </si>
  <si>
    <t>Senha não deve trafegar/ser exibida em texto plano</t>
  </si>
  <si>
    <t>Segurança</t>
  </si>
  <si>
    <t>1. Inspecionar requisições de rede (DevTools) durante login/cadastro</t>
  </si>
  <si>
    <t>Senha não deve aparecer em texto plano na requisição</t>
  </si>
  <si>
    <t>CT-040</t>
  </si>
  <si>
    <t>Registro de tentativas de login inválidas (auditoria)</t>
  </si>
  <si>
    <t>Auditoria</t>
  </si>
  <si>
    <t>1. Realizar 5 tentativas de login com senha incorreta</t>
  </si>
  <si>
    <t>Sistema deve registrar as tentativas</t>
  </si>
  <si>
    <t>Testado em 22/08/2026. O sistema permite inúmeras vezes a tentativa de login. ERRO DE IMPORTANCIA BAIXA</t>
  </si>
  <si>
    <t>CT-041</t>
  </si>
  <si>
    <t>[Automatizado] Criar plano manual com todos os dados validos</t>
  </si>
  <si>
    <t>Caso de Uso (automatizado - Playwright)</t>
  </si>
  <si>
    <t>Admin autenticado, sessao valida</t>
  </si>
  <si>
    <t>1. Acessar /AdminPlans
2. Clicar em Novo
3. Preencher Nome, Descricao, Objetivo, Calorias/dia, Atribuir a
4. Clicar em Criar plano</t>
  </si>
  <si>
    <t>Nome: Plano de Teste Automatizado | Objetivo: Manter | Calorias/dia: 2000</t>
  </si>
  <si>
    <t>Plano criado com sucesso, modal fecha ou confirma criacao</t>
  </si>
  <si>
    <t>Automatizado via Playwright (tests/01-planos-alimentares.spec.js). Rodou em chromium e mobile-chrome, 22/09/2026.</t>
  </si>
  <si>
    <t>CT-042</t>
  </si>
  <si>
    <t>RF06 / RN02</t>
  </si>
  <si>
    <t>[Automatizado] Bloquear criacao de plano sem nome (botao desabilitado)</t>
  </si>
  <si>
    <t>Caso de Uso negativo (automatizado - Playwright)</t>
  </si>
  <si>
    <t>Admin autenticado, campo Nome do plano vazio</t>
  </si>
  <si>
    <t>1. Acessar /AdminPlans
2. Clicar em Novo
3. Preencher apenas Descricao e Calorias/dia, deixando Nome vazio
4. Verificar estado do botao Criar plano</t>
  </si>
  <si>
    <t>Nome: (vazio) | Calorias/dia: 1800</t>
  </si>
  <si>
    <t>O botao 'Criar plano' permanece DESABILITADO enquanto o nome nao for preenchido - validacao preventiva no formulario, nao mensagem de erro pos-clique</t>
  </si>
  <si>
    <t>Automatizado via Playwright. Resultado esperado corrigido apos evidencia real (trace) mostrar bloqueio via disabled, nao mensagem pos-clique.</t>
  </si>
  <si>
    <t>CT-043</t>
  </si>
  <si>
    <t>[Automatizado] Tentativa de criar plano com calorias/dia negativas (tela Novo Plano)</t>
  </si>
  <si>
    <t>Particao de Equivalencia (automatizado - Playwright)</t>
  </si>
  <si>
    <t>1. Acessar /AdminPlans
2. Clicar em Novo
3. Preencher Nome e Calorias/dia com valor negativo
4. Clicar em Criar plano</t>
  </si>
  <si>
    <t>Nome: Plano Calorias Invalidas | Calorias/dia: -50</t>
  </si>
  <si>
    <t>Sistema deveria impedir a criacao do plano com valor negativo</t>
  </si>
  <si>
    <t>Passou (ver ressalva)</t>
  </si>
  <si>
    <t>ATENCAO: este teste automatizado NAO tem uma asserção explicita de bloqueio (o TODO de verificacao de mensagem de erro ficou comentado no codigo) - ele so confirma que o fluxo roda sem travar, nao que o valor negativo foi de fato rejeitado. Ou seja, o 'Passou' aqui NAO prova que a validacao existe. Isso é relevante porque o teste exploratorio CT-034 (tela diferente: Base de Alimentos, RF10) encontrou justamente esse tipo de falha (sistema aceita dados negativados). Recomenda-se reforcar CT-043 com uma asserção real antes de confiar nele.</t>
  </si>
  <si>
    <t>Registro de Defeitos - NutriFit</t>
  </si>
  <si>
    <t>Defeitos encontrados durante a verificacao de seguranca e a execucao dos testes exploratorios</t>
  </si>
  <si>
    <t>Titulo</t>
  </si>
  <si>
    <t>Severidade</t>
  </si>
  <si>
    <t>Categoria</t>
  </si>
  <si>
    <t>Caso de Teste</t>
  </si>
  <si>
    <t>Requisito Relacionado</t>
  </si>
  <si>
    <t>Descricao</t>
  </si>
  <si>
    <t>Data</t>
  </si>
  <si>
    <t>BUG-001</t>
  </si>
  <si>
    <t>Controle de acesso quebrado (Broken Access Control) expoe dados de todos os usuarios</t>
  </si>
  <si>
    <t>Critica</t>
  </si>
  <si>
    <t>Seguranca / Controle de Acesso</t>
  </si>
  <si>
    <t>RNF01, RN01</t>
  </si>
  <si>
    <t>A verificacao de seguranca nativa do Base44 identificou que as colecoes MealLog, MealPlan, NutritionalProfile e WeightLog nao possuiam regras de permissao configuradas, permitindo que qualquer usuario publico acessasse os registros de TODOS os usuarios. Categoria equivalente a Broken Access Control (OWASP Top 10).</t>
  </si>
  <si>
    <t>Corrigido - aplicado via Corrigir todos os problemas do Base44, reverificado (0 criticos) antes da publicacao</t>
  </si>
  <si>
    <t>15/09/2026</t>
  </si>
  <si>
    <t>BUG-002</t>
  </si>
  <si>
    <t>Ausencia de mensagem ao salvar perfil com campo obrigatorio (peso) vazio</t>
  </si>
  <si>
    <t>Validacao de Dados</t>
  </si>
  <si>
    <t>O sistema atualiza o perfil nutricional mesmo com o campo peso vazio, sem exibir a mensagem de erro prevista no requisito (Preencha os campos obrigatorios). O usuario nao recebe feedback de que o dado nao foi realmente validado.</t>
  </si>
  <si>
    <t>Aberto</t>
  </si>
  <si>
    <t>17/08/2026</t>
  </si>
  <si>
    <t>BUG-003</t>
  </si>
  <si>
    <t>Sistema aceita peso de 900kg sem validar dado implausivel</t>
  </si>
  <si>
    <t>RF03 / RN05</t>
  </si>
  <si>
    <t>Ao informar peso de 900kg no perfil nutricional, o sistema aceita e salva o dado sem exibir mensagem de erro, violando o RN05 (o sistema deve validar consistencia dos dados, ex: IMC plausivel).</t>
  </si>
  <si>
    <t>BUG-004</t>
  </si>
  <si>
    <t>Planos manual e automatico exibidos simultaneamente, sem priorizar o manual</t>
  </si>
  <si>
    <t>Regra de Negocio</t>
  </si>
  <si>
    <t>Ao existir um plano automatico e um plano manual para o mesmo usuario, o sistema exibe os dois na mesma secao do perfil, em vez de exibir e usar apenas o plano manual, como determina o RN03 (Prioridade do Plano Manual). Classificado como leve pelo testador, mas viola uma regra marcada como Essencial no documento de requisitos - recomenda-se reavaliar a severidade com o time. [Severidade reavaliada em 12/10/2026: Baixa -&gt; Alta, porque a regra violada (RN03) e Essencial no Documento de Requisitos e o usuario pode seguir um plano errado.]</t>
  </si>
  <si>
    <t>19/08/2026</t>
  </si>
  <si>
    <t>BUG-005</t>
  </si>
  <si>
    <t>Aba de progresso nao exibe mensagem quando nao ha dados registrados</t>
  </si>
  <si>
    <t>Usabilidade</t>
  </si>
  <si>
    <t>A aba de progresso e exibida normalmente (vazia) mesmo quando o usuario nao possui nenhum dado registrado, sem a mensagem prevista no requisito (Sem dados suficientes para exibicao).</t>
  </si>
  <si>
    <t>22/08/2026</t>
  </si>
  <si>
    <t>BUG-006</t>
  </si>
  <si>
    <t>Administrador nao consegue criar novos usuarios pelo painel administrativo</t>
  </si>
  <si>
    <t>Funcional / Administracao</t>
  </si>
  <si>
    <t>Ao tentar criar um novo usuario pelo painel administrativo, a operacao nao e concluida com sucesso. Classificado pelo testador como erro de alta importancia, pois compromete uma funcionalidade essencial de administracao.</t>
  </si>
  <si>
    <t>BUG-007</t>
  </si>
  <si>
    <t>Administrador nao consegue editar usuarios existentes</t>
  </si>
  <si>
    <t>Ao tentar editar um usuario existente pelo painel administrativo, a operacao nao e concluida com sucesso.</t>
  </si>
  <si>
    <t>BUG-008</t>
  </si>
  <si>
    <t>Administrador nao consegue excluir usuarios</t>
  </si>
  <si>
    <t>Ao tentar excluir um usuario pelo painel administrativo, a operacao nao e concluida com sucesso.</t>
  </si>
  <si>
    <t>BUG-009</t>
  </si>
  <si>
    <t>Sistema aceita valores negativos de calorias/dia (tela Base de Alimentos)</t>
  </si>
  <si>
    <t>Media</t>
  </si>
  <si>
    <t>O sistema permite registrar dados de calorias negativos em um plano/alimento pelo painel administrativo, sem bloqueio ou mensagem de erro. Nota de rastreabilidade: o teste automatizado CT-043 cobre um cenario parecido (calorias negativas) em outra tela (Novo Plano), mas sem uma assercao real de bloqueio - portanto nao pode ser usado como evidencia de que este bug foi corrigido.</t>
  </si>
  <si>
    <t>BUG-010</t>
  </si>
  <si>
    <t>Sistema permite tentativas ilimitadas de login (sem rate limiting)</t>
  </si>
  <si>
    <t>Seguranca</t>
  </si>
  <si>
    <t>O sistema nao bloqueia nem limita o numero de tentativas de login com senha incorreta, permitindo tentativas repetidas indefinidamente. Risco de forca bruta a longo prazo, ainda que classificado como baixa prioridade pelo testador.</t>
  </si>
  <si>
    <t>Notas de Automacao - Depuracao da suite Playwright</t>
  </si>
  <si>
    <t>Registro dos obstaculos tecnicos encontrados ao automatizar a tela Novo Plano (/AdminPlans) ate atingir 26/26 testes passando</t>
  </si>
  <si>
    <t>Obstaculo Encontrado</t>
  </si>
  <si>
    <t>Causa Raiz</t>
  </si>
  <si>
    <t>Solucao Aplicada</t>
  </si>
  <si>
    <t>Ferramenta/Tecnica Usada</t>
  </si>
  <si>
    <t>NOTA-01</t>
  </si>
  <si>
    <t>Teste travava (spinner infinito ou redirecionamento para login) ao acessar rotas autenticadas</t>
  </si>
  <si>
    <t>O arquivo auth.json (sessao salva) foi gerado horas antes da execucao; o token de sessao do Base44 expirou</t>
  </si>
  <si>
    <t>Regenerar o auth.json (login manual via codegen) proximo do momento de rodar os testes, nao horas antes</t>
  </si>
  <si>
    <t>npx playwright codegen --save-storage=auth.json &lt;url&gt;</t>
  </si>
  <si>
    <t>NOTA-02</t>
  </si>
  <si>
    <t>getByLabel("Objetivo").selectOption(...) nao funcionava - timeout esperando o elemento</t>
  </si>
  <si>
    <t>O campo Objetivo e um combobox customizado (shadcn/ui), nao um &lt;select&gt; nativo do HTML - .selectOption() so funciona em &lt;select&gt; nativo</t>
  </si>
  <si>
    <t>Trocado por clique + selecao de opcao: getByRole("combobox").filter({hasText:...}).click() seguido de getByRole("option",{name:...}).click()</t>
  </si>
  <si>
    <t>Playwright Inspector - Pick Locator (icone de mira)</t>
  </si>
  <si>
    <t>NOTA-03</t>
  </si>
  <si>
    <t>getByLabel("Calorias/dia") e getByLabel(/atribuir a/i) nao encontravam os campos</t>
  </si>
  <si>
    <t>Os componentes de formulario da biblioteca de UI usada no app nao associam o label visual ao input do jeito que a Accessibility Tree padrao espera</t>
  </si>
  <si>
    <t>Calorias/dia: trocado por getByRole("spinbutton"). Atribuir a: trocado por getByRole("combobox").filter({hasText:"Selecionar usuario"}) + getByRole("option").first()</t>
  </si>
  <si>
    <t>Playwright Inspector - Pick Locator</t>
  </si>
  <si>
    <t>NOTA-04</t>
  </si>
  <si>
    <t>Teste esperava uma mensagem de erro apos clicar em Criar plano com nome vazio, mas o clique nunca disparava (timeout)</t>
  </si>
  <si>
    <t>Suposicao incorreta no design do teste: o app nao deixa clicar e depois mostra erro - ele desabilita preventivamente o botao Criar plano (atributo disabled) enquanto o nome nao for preenchido</t>
  </si>
  <si>
    <t>Teste reescrito para validar toBeDisabled() no botao, em vez de tentar clicar e esperar mensagem de erro. Resultado esperado do caso de teste (CT-042) corrigido para refletir o comportamento real</t>
  </si>
  <si>
    <t>Playwright Trace Viewer (aba Errors + inspecao do elemento resolvido)</t>
  </si>
  <si>
    <t>NOTA-05</t>
  </si>
  <si>
    <t>IDs de teste duplicados: os testes automatizados foram nomeados CT-013/CT-016/CT-034 no arquivo .spec.js, mas esses IDs ja existiam (ou ja existem) na matriz para outros cenarios</t>
  </si>
  <si>
    <t>Falta de checagem cruzada entre o nome informal usado no codigo de automacao e os IDs ja formalizados na matriz de casos de teste</t>
  </si>
  <si>
    <t>Casos automatizados renomeados para CT-041, CT-042 e CT-043 (nova sequencia), preservando os IDs originais intactos na aba Casos de Teste</t>
  </si>
  <si>
    <t>Revisao manual cruzando .spec.js x planilha</t>
  </si>
  <si>
    <t>Senha: Senha@12 (8 caracteres)</t>
  </si>
  <si>
    <t>Nome: Guilherme Almeida | Email: teste.qa@exemplo.com | Senha: Senha@1234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</si>
</sst>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2E7D32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4CCCC"/>
        <bgColor rgb="FFFDE2E1"/>
      </patternFill>
    </fill>
    <fill>
      <patternFill patternType="solid">
        <fgColor rgb="FFFFF3D6"/>
        <bgColor rgb="FFFFF2CC"/>
      </patternFill>
    </fill>
    <fill>
      <patternFill patternType="solid">
        <fgColor rgb="FFD9EAD3"/>
        <bgColor rgb="FFEAEAEA"/>
      </patternFill>
    </fill>
    <fill>
      <patternFill patternType="solid">
        <fgColor rgb="FFFDE2E1"/>
        <bgColor rgb="FFEAEAEA"/>
      </patternFill>
    </fill>
    <fill>
      <patternFill patternType="solid">
        <fgColor rgb="FFE1F0FF"/>
        <bgColor rgb="FFEAEAEA"/>
      </patternFill>
    </fill>
    <fill>
      <patternFill patternType="solid">
        <fgColor rgb="FFFFF2CC"/>
        <bgColor rgb="FFFFF3D6"/>
      </patternFill>
    </fill>
    <fill>
      <patternFill patternType="solid">
        <fgColor rgb="FFEAEAEA"/>
        <bgColor rgb="FFE1F0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6"/>
      <rgbColor rgb="FFE1F0FF"/>
      <rgbColor rgb="FF660066"/>
      <rgbColor rgb="FFFF8080"/>
      <rgbColor rgb="FF0066CC"/>
      <rgbColor rgb="FFFDE2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Normal="100" workbookViewId="0"/>
  </sheetViews>
  <sheetFormatPr defaultColWidth="8.6640625" defaultRowHeight="14.4" x14ac:dyDescent="0.3"/>
  <cols>
    <col min="1" max="1" width="46" customWidth="1"/>
    <col min="2" max="2" width="18" customWidth="1"/>
  </cols>
  <sheetData>
    <row r="1" spans="1:2" ht="17.25" customHeight="1" x14ac:dyDescent="0.3">
      <c r="A1" s="1" t="s">
        <v>0</v>
      </c>
    </row>
    <row r="2" spans="1:2" ht="15" customHeight="1" x14ac:dyDescent="0.3">
      <c r="A2" s="2" t="s">
        <v>1</v>
      </c>
    </row>
    <row r="3" spans="1:2" ht="15" customHeight="1" x14ac:dyDescent="0.3">
      <c r="A3" s="2" t="s">
        <v>2</v>
      </c>
    </row>
    <row r="5" spans="1:2" ht="15" customHeight="1" x14ac:dyDescent="0.3">
      <c r="A5" s="3" t="s">
        <v>3</v>
      </c>
      <c r="B5" s="3" t="s">
        <v>4</v>
      </c>
    </row>
    <row r="6" spans="1:2" ht="15" customHeight="1" x14ac:dyDescent="0.3">
      <c r="A6" s="4" t="s">
        <v>5</v>
      </c>
      <c r="B6" s="5">
        <f>COUNTA('Casos de Teste'!A6:A194)</f>
        <v>42</v>
      </c>
    </row>
    <row r="7" spans="1:2" ht="15" customHeight="1" x14ac:dyDescent="0.3">
      <c r="A7" s="4" t="s">
        <v>6</v>
      </c>
      <c r="B7" s="5">
        <f>COUNTIF('Casos de Teste'!F6:F194,"Crítica")</f>
        <v>16</v>
      </c>
    </row>
    <row r="8" spans="1:2" ht="15" customHeight="1" x14ac:dyDescent="0.3">
      <c r="A8" s="4" t="s">
        <v>7</v>
      </c>
      <c r="B8" s="5">
        <f>COUNTIF('Casos de Teste'!F6:F194,"Alta")</f>
        <v>15</v>
      </c>
    </row>
    <row r="9" spans="1:2" ht="15" customHeight="1" x14ac:dyDescent="0.3">
      <c r="A9" s="4" t="s">
        <v>8</v>
      </c>
      <c r="B9" s="5">
        <f>COUNTIF('Casos de Teste'!F6:F194,"Média")</f>
        <v>10</v>
      </c>
    </row>
    <row r="10" spans="1:2" ht="15" customHeight="1" x14ac:dyDescent="0.3">
      <c r="A10" s="4" t="s">
        <v>9</v>
      </c>
      <c r="B10" s="5">
        <f>COUNTIF('Casos de Teste'!F6:F194,"Baixa")</f>
        <v>1</v>
      </c>
    </row>
    <row r="11" spans="1:2" ht="15" customHeight="1" x14ac:dyDescent="0.3">
      <c r="A11" s="4" t="s">
        <v>10</v>
      </c>
      <c r="B11" s="5">
        <f>SUMPRODUCT(--ISNUMBER(SEARCH("GAP",'Casos de Teste'!B6:B194)))</f>
        <v>0</v>
      </c>
    </row>
    <row r="12" spans="1:2" ht="15" customHeight="1" x14ac:dyDescent="0.3">
      <c r="A12" s="4" t="s">
        <v>11</v>
      </c>
      <c r="B12" s="5">
        <f>COUNTIF('Casos de Teste'!E6:E194,"Funcional")</f>
        <v>34</v>
      </c>
    </row>
    <row r="13" spans="1:2" ht="15" customHeight="1" x14ac:dyDescent="0.3">
      <c r="A13" s="4" t="s">
        <v>12</v>
      </c>
      <c r="B13" s="5">
        <f>SUMPRODUCT(--((ISNUMBER(SEARCH("Não Funcional",'Casos de Teste'!E6:E194))+ISNUMBER(SEARCH("Segurança",'Casos de Teste'!E6:E194)))&gt;0))</f>
        <v>8</v>
      </c>
    </row>
    <row r="14" spans="1:2" ht="15" customHeight="1" x14ac:dyDescent="0.3">
      <c r="A14" s="4" t="s">
        <v>13</v>
      </c>
      <c r="B14" s="5">
        <f>COUNTA(#REF!)</f>
        <v>1</v>
      </c>
    </row>
    <row r="16" spans="1:2" ht="15" customHeight="1" x14ac:dyDescent="0.3">
      <c r="A16" s="6" t="s">
        <v>14</v>
      </c>
    </row>
    <row r="17" spans="1:2" ht="15" customHeight="1" x14ac:dyDescent="0.3">
      <c r="A17" s="7" t="s">
        <v>15</v>
      </c>
    </row>
    <row r="18" spans="1:2" ht="15" customHeight="1" x14ac:dyDescent="0.3">
      <c r="A18" s="7" t="s">
        <v>16</v>
      </c>
    </row>
    <row r="19" spans="1:2" ht="15" customHeight="1" x14ac:dyDescent="0.3">
      <c r="A19" s="7" t="s">
        <v>17</v>
      </c>
    </row>
    <row r="20" spans="1:2" ht="15" customHeight="1" x14ac:dyDescent="0.3">
      <c r="A20" s="7" t="s">
        <v>18</v>
      </c>
    </row>
    <row r="21" spans="1:2" ht="15" customHeight="1" x14ac:dyDescent="0.3">
      <c r="A21" s="7" t="s">
        <v>19</v>
      </c>
    </row>
    <row r="23" spans="1:2" x14ac:dyDescent="0.3">
      <c r="A23" s="4" t="s">
        <v>20</v>
      </c>
      <c r="B23" s="5">
        <f>COUNTA(Defeitos!A5:A50)</f>
        <v>10</v>
      </c>
    </row>
    <row r="24" spans="1:2" x14ac:dyDescent="0.3">
      <c r="A24" s="4" t="s">
        <v>21</v>
      </c>
      <c r="B24" s="5">
        <f>COUNTIF(Defeitos!H5:H50,"Aberto")</f>
        <v>9</v>
      </c>
    </row>
    <row r="25" spans="1:2" x14ac:dyDescent="0.3">
      <c r="A25" s="4" t="s">
        <v>22</v>
      </c>
      <c r="B25" s="5">
        <f>COUNTIF(Defeitos!H5:H50,"Corrigido")</f>
        <v>0</v>
      </c>
    </row>
    <row r="26" spans="1:2" x14ac:dyDescent="0.3">
      <c r="A26" s="4"/>
      <c r="B26" s="5"/>
    </row>
    <row r="27" spans="1:2" x14ac:dyDescent="0.3">
      <c r="A27" s="4" t="s">
        <v>23</v>
      </c>
      <c r="B27" s="5">
        <f>COUNTIF('Casos de Teste'!K6:K194,"Passou")</f>
        <v>27</v>
      </c>
    </row>
    <row r="28" spans="1:2" x14ac:dyDescent="0.3">
      <c r="A28" s="4" t="s">
        <v>24</v>
      </c>
      <c r="B28" s="5">
        <f>COUNTIF('Casos de Teste'!K6:K194,"Passou (ver*")</f>
        <v>1</v>
      </c>
    </row>
    <row r="29" spans="1:2" x14ac:dyDescent="0.3">
      <c r="A29" s="4" t="s">
        <v>25</v>
      </c>
      <c r="B29" s="5">
        <f>COUNTIF('Casos de Teste'!K6:K194,"Falhou")</f>
        <v>9</v>
      </c>
    </row>
    <row r="30" spans="1:2" x14ac:dyDescent="0.3">
      <c r="A30" s="4" t="s">
        <v>26</v>
      </c>
      <c r="B30" s="5">
        <f>COUNTIF('Casos de Teste'!K6:K194,"Não Executado")</f>
        <v>5</v>
      </c>
    </row>
    <row r="31" spans="1:2" x14ac:dyDescent="0.3">
      <c r="A31" s="4" t="s">
        <v>27</v>
      </c>
      <c r="B31" s="5">
        <f>COUNTIF(Defeitos!C5:C50,"Alta")+COUNTIF(Defeitos!C5:C50,"Crítica")+COUNTIF(Defeitos!C5:C50,"Critica")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tabSelected="1" topLeftCell="D1" zoomScaleNormal="100" workbookViewId="0">
      <pane ySplit="5" topLeftCell="A6" activePane="bottomLeft" state="frozen"/>
      <selection activeCell="D1" sqref="D1"/>
      <selection pane="bottomLeft" activeCell="I6" sqref="I6"/>
    </sheetView>
  </sheetViews>
  <sheetFormatPr defaultColWidth="8.6640625" defaultRowHeight="14.4" x14ac:dyDescent="0.3"/>
  <cols>
    <col min="1" max="1" width="9" customWidth="1"/>
    <col min="2" max="2" width="16" customWidth="1"/>
    <col min="3" max="3" width="30" customWidth="1"/>
    <col min="4" max="4" width="24" customWidth="1"/>
    <col min="5" max="5" width="16" customWidth="1"/>
    <col min="6" max="6" width="11" customWidth="1"/>
    <col min="7" max="7" width="22" customWidth="1"/>
    <col min="8" max="8" width="34" customWidth="1"/>
    <col min="9" max="9" width="26" customWidth="1"/>
    <col min="10" max="10" width="34" customWidth="1"/>
    <col min="11" max="11" width="14" customWidth="1"/>
    <col min="12" max="12" width="30" customWidth="1"/>
  </cols>
  <sheetData>
    <row r="1" spans="1:12" ht="17.25" customHeight="1" x14ac:dyDescent="0.3">
      <c r="A1" s="1" t="s">
        <v>31</v>
      </c>
    </row>
    <row r="2" spans="1:12" ht="15" customHeight="1" x14ac:dyDescent="0.3">
      <c r="A2" s="2" t="s">
        <v>32</v>
      </c>
    </row>
    <row r="5" spans="1:12" ht="15" customHeight="1" x14ac:dyDescent="0.3">
      <c r="A5" s="3" t="s">
        <v>28</v>
      </c>
      <c r="B5" s="3" t="s">
        <v>33</v>
      </c>
      <c r="C5" s="3" t="s">
        <v>34</v>
      </c>
      <c r="D5" s="3" t="s">
        <v>35</v>
      </c>
      <c r="E5" s="3" t="s">
        <v>29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30</v>
      </c>
      <c r="L5" s="3" t="s">
        <v>41</v>
      </c>
    </row>
    <row r="6" spans="1:12" ht="60" customHeight="1" x14ac:dyDescent="0.3">
      <c r="A6" s="8" t="s">
        <v>42</v>
      </c>
      <c r="B6" s="8" t="s">
        <v>43</v>
      </c>
      <c r="C6" s="8" t="s">
        <v>44</v>
      </c>
      <c r="D6" s="8" t="s">
        <v>45</v>
      </c>
      <c r="E6" s="8" t="s">
        <v>46</v>
      </c>
      <c r="F6" s="9" t="s">
        <v>47</v>
      </c>
      <c r="G6" s="8" t="s">
        <v>48</v>
      </c>
      <c r="H6" s="8" t="s">
        <v>49</v>
      </c>
      <c r="I6" s="8" t="s">
        <v>424</v>
      </c>
      <c r="J6" s="8" t="s">
        <v>50</v>
      </c>
      <c r="K6" s="10" t="s">
        <v>51</v>
      </c>
      <c r="L6" s="11" t="s">
        <v>52</v>
      </c>
    </row>
    <row r="7" spans="1:12" ht="60" customHeight="1" x14ac:dyDescent="0.3">
      <c r="A7" s="8" t="s">
        <v>53</v>
      </c>
      <c r="B7" s="8" t="s">
        <v>43</v>
      </c>
      <c r="C7" s="8" t="s">
        <v>54</v>
      </c>
      <c r="D7" s="8" t="s">
        <v>55</v>
      </c>
      <c r="E7" s="8" t="s">
        <v>46</v>
      </c>
      <c r="F7" s="9" t="s">
        <v>47</v>
      </c>
      <c r="G7" s="8" t="s">
        <v>56</v>
      </c>
      <c r="H7" s="8" t="s">
        <v>57</v>
      </c>
      <c r="I7" s="8" t="s">
        <v>424</v>
      </c>
      <c r="J7" s="8" t="s">
        <v>58</v>
      </c>
      <c r="K7" s="10" t="s">
        <v>51</v>
      </c>
      <c r="L7" s="11" t="s">
        <v>59</v>
      </c>
    </row>
    <row r="8" spans="1:12" ht="60" customHeight="1" x14ac:dyDescent="0.3">
      <c r="A8" s="8" t="s">
        <v>60</v>
      </c>
      <c r="B8" s="8" t="s">
        <v>43</v>
      </c>
      <c r="C8" s="8" t="s">
        <v>61</v>
      </c>
      <c r="D8" s="8" t="s">
        <v>62</v>
      </c>
      <c r="E8" s="8" t="s">
        <v>46</v>
      </c>
      <c r="F8" s="9" t="s">
        <v>47</v>
      </c>
      <c r="G8" s="12" t="s">
        <v>48</v>
      </c>
      <c r="H8" s="8" t="s">
        <v>63</v>
      </c>
      <c r="I8" s="12" t="s">
        <v>64</v>
      </c>
      <c r="J8" s="12" t="s">
        <v>65</v>
      </c>
      <c r="K8" s="13" t="s">
        <v>51</v>
      </c>
      <c r="L8" s="11" t="s">
        <v>66</v>
      </c>
    </row>
    <row r="9" spans="1:12" ht="60" customHeight="1" x14ac:dyDescent="0.3">
      <c r="A9" s="8" t="s">
        <v>67</v>
      </c>
      <c r="B9" s="8" t="s">
        <v>43</v>
      </c>
      <c r="C9" s="8" t="s">
        <v>68</v>
      </c>
      <c r="D9" s="8" t="s">
        <v>69</v>
      </c>
      <c r="E9" s="8" t="s">
        <v>46</v>
      </c>
      <c r="F9" s="14" t="s">
        <v>70</v>
      </c>
      <c r="G9" s="12" t="s">
        <v>48</v>
      </c>
      <c r="H9" s="8" t="s">
        <v>71</v>
      </c>
      <c r="I9" s="12" t="s">
        <v>423</v>
      </c>
      <c r="J9" s="12" t="s">
        <v>72</v>
      </c>
      <c r="K9" s="13" t="s">
        <v>51</v>
      </c>
      <c r="L9" s="11" t="s">
        <v>73</v>
      </c>
    </row>
    <row r="10" spans="1:12" ht="60" customHeight="1" x14ac:dyDescent="0.3">
      <c r="A10" s="8" t="s">
        <v>74</v>
      </c>
      <c r="B10" s="8" t="s">
        <v>43</v>
      </c>
      <c r="C10" s="8" t="s">
        <v>75</v>
      </c>
      <c r="D10" s="8" t="s">
        <v>55</v>
      </c>
      <c r="E10" s="8" t="s">
        <v>46</v>
      </c>
      <c r="F10" s="14" t="s">
        <v>70</v>
      </c>
      <c r="G10" s="12" t="s">
        <v>48</v>
      </c>
      <c r="H10" s="8" t="s">
        <v>76</v>
      </c>
      <c r="I10" s="12" t="s">
        <v>77</v>
      </c>
      <c r="J10" s="12" t="s">
        <v>78</v>
      </c>
      <c r="K10" s="13" t="s">
        <v>51</v>
      </c>
      <c r="L10" s="11" t="s">
        <v>79</v>
      </c>
    </row>
    <row r="11" spans="1:12" ht="60" customHeight="1" x14ac:dyDescent="0.3">
      <c r="A11" s="8" t="s">
        <v>80</v>
      </c>
      <c r="B11" s="8" t="s">
        <v>81</v>
      </c>
      <c r="C11" s="8" t="s">
        <v>82</v>
      </c>
      <c r="D11" s="8" t="s">
        <v>83</v>
      </c>
      <c r="E11" s="8" t="s">
        <v>46</v>
      </c>
      <c r="F11" s="15" t="s">
        <v>84</v>
      </c>
      <c r="G11" s="8" t="s">
        <v>48</v>
      </c>
      <c r="H11" s="8" t="s">
        <v>85</v>
      </c>
      <c r="I11" s="8" t="s">
        <v>86</v>
      </c>
      <c r="J11" s="12" t="s">
        <v>87</v>
      </c>
      <c r="K11" s="13" t="s">
        <v>51</v>
      </c>
      <c r="L11" s="11" t="s">
        <v>88</v>
      </c>
    </row>
    <row r="12" spans="1:12" ht="60" customHeight="1" x14ac:dyDescent="0.3">
      <c r="A12" s="8" t="s">
        <v>89</v>
      </c>
      <c r="B12" s="8" t="s">
        <v>81</v>
      </c>
      <c r="C12" s="8" t="s">
        <v>90</v>
      </c>
      <c r="D12" s="8" t="s">
        <v>91</v>
      </c>
      <c r="E12" s="8" t="s">
        <v>46</v>
      </c>
      <c r="F12" s="9" t="s">
        <v>47</v>
      </c>
      <c r="G12" s="8" t="s">
        <v>92</v>
      </c>
      <c r="H12" s="8" t="s">
        <v>93</v>
      </c>
      <c r="I12" s="8" t="s">
        <v>94</v>
      </c>
      <c r="J12" s="8" t="s">
        <v>95</v>
      </c>
      <c r="K12" s="13" t="s">
        <v>51</v>
      </c>
      <c r="L12" s="11" t="s">
        <v>96</v>
      </c>
    </row>
    <row r="13" spans="1:12" ht="60" customHeight="1" x14ac:dyDescent="0.3">
      <c r="A13" s="8" t="s">
        <v>97</v>
      </c>
      <c r="B13" s="8" t="s">
        <v>81</v>
      </c>
      <c r="C13" s="8" t="s">
        <v>98</v>
      </c>
      <c r="D13" s="8" t="s">
        <v>99</v>
      </c>
      <c r="E13" s="8" t="s">
        <v>46</v>
      </c>
      <c r="F13" s="9" t="s">
        <v>47</v>
      </c>
      <c r="G13" s="8" t="s">
        <v>100</v>
      </c>
      <c r="H13" s="8" t="s">
        <v>101</v>
      </c>
      <c r="I13" s="8" t="s">
        <v>102</v>
      </c>
      <c r="J13" s="12" t="s">
        <v>103</v>
      </c>
      <c r="K13" s="13" t="s">
        <v>51</v>
      </c>
      <c r="L13" s="11" t="s">
        <v>104</v>
      </c>
    </row>
    <row r="14" spans="1:12" ht="60" customHeight="1" x14ac:dyDescent="0.3">
      <c r="A14" s="8" t="s">
        <v>105</v>
      </c>
      <c r="B14" s="8" t="s">
        <v>106</v>
      </c>
      <c r="C14" s="8" t="s">
        <v>107</v>
      </c>
      <c r="D14" s="8" t="s">
        <v>108</v>
      </c>
      <c r="E14" s="8" t="s">
        <v>46</v>
      </c>
      <c r="F14" s="14" t="s">
        <v>70</v>
      </c>
      <c r="G14" s="8" t="s">
        <v>109</v>
      </c>
      <c r="H14" s="8" t="s">
        <v>110</v>
      </c>
      <c r="I14" s="12" t="s">
        <v>111</v>
      </c>
      <c r="J14" s="12" t="s">
        <v>112</v>
      </c>
      <c r="K14" s="13" t="s">
        <v>51</v>
      </c>
      <c r="L14" s="11" t="s">
        <v>113</v>
      </c>
    </row>
    <row r="15" spans="1:12" ht="60" customHeight="1" x14ac:dyDescent="0.3">
      <c r="A15" s="8" t="s">
        <v>114</v>
      </c>
      <c r="B15" s="8" t="s">
        <v>106</v>
      </c>
      <c r="C15" s="8" t="s">
        <v>115</v>
      </c>
      <c r="D15" s="8" t="s">
        <v>83</v>
      </c>
      <c r="E15" s="8" t="s">
        <v>46</v>
      </c>
      <c r="F15" s="14" t="s">
        <v>70</v>
      </c>
      <c r="G15" s="8" t="s">
        <v>109</v>
      </c>
      <c r="H15" s="8" t="s">
        <v>116</v>
      </c>
      <c r="I15" s="8" t="s">
        <v>117</v>
      </c>
      <c r="J15" s="12" t="s">
        <v>118</v>
      </c>
      <c r="K15" s="16" t="s">
        <v>119</v>
      </c>
      <c r="L15" s="11" t="s">
        <v>120</v>
      </c>
    </row>
    <row r="16" spans="1:12" ht="60" customHeight="1" x14ac:dyDescent="0.3">
      <c r="A16" s="8" t="s">
        <v>121</v>
      </c>
      <c r="B16" s="8" t="s">
        <v>122</v>
      </c>
      <c r="C16" s="8" t="s">
        <v>123</v>
      </c>
      <c r="D16" s="8" t="s">
        <v>124</v>
      </c>
      <c r="E16" s="8" t="s">
        <v>46</v>
      </c>
      <c r="F16" s="14" t="s">
        <v>70</v>
      </c>
      <c r="G16" s="8" t="s">
        <v>109</v>
      </c>
      <c r="H16" s="8" t="s">
        <v>125</v>
      </c>
      <c r="I16" s="12" t="s">
        <v>126</v>
      </c>
      <c r="J16" s="12" t="s">
        <v>127</v>
      </c>
      <c r="K16" s="16" t="s">
        <v>119</v>
      </c>
      <c r="L16" s="11" t="s">
        <v>128</v>
      </c>
    </row>
    <row r="17" spans="1:12" ht="60" customHeight="1" x14ac:dyDescent="0.3">
      <c r="A17" s="8" t="s">
        <v>129</v>
      </c>
      <c r="B17" s="8" t="s">
        <v>130</v>
      </c>
      <c r="C17" s="8" t="s">
        <v>131</v>
      </c>
      <c r="D17" s="8" t="s">
        <v>108</v>
      </c>
      <c r="E17" s="8" t="s">
        <v>46</v>
      </c>
      <c r="F17" s="9" t="s">
        <v>47</v>
      </c>
      <c r="G17" s="8" t="s">
        <v>132</v>
      </c>
      <c r="H17" s="8" t="s">
        <v>133</v>
      </c>
      <c r="I17" s="8" t="s">
        <v>134</v>
      </c>
      <c r="J17" s="8" t="s">
        <v>135</v>
      </c>
      <c r="K17" s="10" t="s">
        <v>51</v>
      </c>
      <c r="L17" s="11" t="s">
        <v>136</v>
      </c>
    </row>
    <row r="18" spans="1:12" ht="60" customHeight="1" x14ac:dyDescent="0.3">
      <c r="A18" s="8" t="s">
        <v>137</v>
      </c>
      <c r="B18" s="8" t="s">
        <v>130</v>
      </c>
      <c r="C18" s="8" t="s">
        <v>138</v>
      </c>
      <c r="D18" s="8" t="s">
        <v>124</v>
      </c>
      <c r="E18" s="8" t="s">
        <v>46</v>
      </c>
      <c r="F18" s="9" t="s">
        <v>70</v>
      </c>
      <c r="G18" s="8" t="s">
        <v>139</v>
      </c>
      <c r="H18" s="8" t="s">
        <v>140</v>
      </c>
      <c r="I18" s="8" t="s">
        <v>134</v>
      </c>
      <c r="J18" s="8" t="s">
        <v>141</v>
      </c>
      <c r="K18" s="17" t="s">
        <v>142</v>
      </c>
      <c r="L18" s="11" t="s">
        <v>143</v>
      </c>
    </row>
    <row r="19" spans="1:12" ht="60" customHeight="1" x14ac:dyDescent="0.3">
      <c r="A19" s="8" t="s">
        <v>144</v>
      </c>
      <c r="B19" s="8" t="s">
        <v>145</v>
      </c>
      <c r="C19" s="8" t="s">
        <v>146</v>
      </c>
      <c r="D19" s="8" t="s">
        <v>108</v>
      </c>
      <c r="E19" s="8" t="s">
        <v>46</v>
      </c>
      <c r="F19" s="9" t="s">
        <v>47</v>
      </c>
      <c r="G19" s="8" t="s">
        <v>147</v>
      </c>
      <c r="H19" s="8" t="s">
        <v>148</v>
      </c>
      <c r="I19" s="8" t="s">
        <v>134</v>
      </c>
      <c r="J19" s="8" t="s">
        <v>149</v>
      </c>
      <c r="K19" s="17" t="s">
        <v>142</v>
      </c>
      <c r="L19" s="11" t="s">
        <v>143</v>
      </c>
    </row>
    <row r="20" spans="1:12" ht="60" customHeight="1" x14ac:dyDescent="0.3">
      <c r="A20" s="8" t="s">
        <v>150</v>
      </c>
      <c r="B20" s="8" t="s">
        <v>151</v>
      </c>
      <c r="C20" s="8" t="s">
        <v>152</v>
      </c>
      <c r="D20" s="8" t="s">
        <v>108</v>
      </c>
      <c r="E20" s="8" t="s">
        <v>46</v>
      </c>
      <c r="F20" s="9" t="s">
        <v>47</v>
      </c>
      <c r="G20" s="8" t="s">
        <v>153</v>
      </c>
      <c r="H20" s="8" t="s">
        <v>154</v>
      </c>
      <c r="I20" s="8" t="s">
        <v>134</v>
      </c>
      <c r="J20" s="8" t="s">
        <v>155</v>
      </c>
      <c r="K20" s="10" t="s">
        <v>51</v>
      </c>
      <c r="L20" s="11" t="s">
        <v>156</v>
      </c>
    </row>
    <row r="21" spans="1:12" ht="60" customHeight="1" x14ac:dyDescent="0.3">
      <c r="A21" s="8" t="s">
        <v>157</v>
      </c>
      <c r="B21" s="8" t="s">
        <v>151</v>
      </c>
      <c r="C21" s="8" t="s">
        <v>158</v>
      </c>
      <c r="D21" s="8" t="s">
        <v>159</v>
      </c>
      <c r="E21" s="8" t="s">
        <v>46</v>
      </c>
      <c r="F21" s="9" t="s">
        <v>84</v>
      </c>
      <c r="G21" s="8" t="s">
        <v>160</v>
      </c>
      <c r="H21" s="8" t="s">
        <v>161</v>
      </c>
      <c r="I21" s="8" t="s">
        <v>134</v>
      </c>
      <c r="J21" s="8" t="s">
        <v>162</v>
      </c>
      <c r="K21" s="17" t="s">
        <v>142</v>
      </c>
      <c r="L21" s="11" t="s">
        <v>163</v>
      </c>
    </row>
    <row r="22" spans="1:12" ht="60" customHeight="1" x14ac:dyDescent="0.3">
      <c r="A22" s="8" t="s">
        <v>164</v>
      </c>
      <c r="B22" s="8" t="s">
        <v>165</v>
      </c>
      <c r="C22" s="8" t="s">
        <v>166</v>
      </c>
      <c r="D22" s="8" t="s">
        <v>167</v>
      </c>
      <c r="E22" s="8" t="s">
        <v>46</v>
      </c>
      <c r="F22" s="9" t="s">
        <v>47</v>
      </c>
      <c r="G22" s="8" t="s">
        <v>168</v>
      </c>
      <c r="H22" s="8" t="s">
        <v>169</v>
      </c>
      <c r="I22" s="8" t="s">
        <v>134</v>
      </c>
      <c r="J22" s="8" t="s">
        <v>170</v>
      </c>
      <c r="K22" s="10" t="s">
        <v>51</v>
      </c>
      <c r="L22" s="11" t="s">
        <v>171</v>
      </c>
    </row>
    <row r="23" spans="1:12" ht="60" customHeight="1" x14ac:dyDescent="0.3">
      <c r="A23" s="8" t="s">
        <v>172</v>
      </c>
      <c r="B23" s="8" t="s">
        <v>173</v>
      </c>
      <c r="C23" s="8" t="s">
        <v>174</v>
      </c>
      <c r="D23" s="8" t="s">
        <v>175</v>
      </c>
      <c r="E23" s="8" t="s">
        <v>46</v>
      </c>
      <c r="F23" s="9" t="s">
        <v>47</v>
      </c>
      <c r="G23" s="8" t="s">
        <v>176</v>
      </c>
      <c r="H23" s="8" t="s">
        <v>177</v>
      </c>
      <c r="I23" s="8" t="s">
        <v>134</v>
      </c>
      <c r="J23" s="8" t="s">
        <v>178</v>
      </c>
      <c r="K23" s="18" t="s">
        <v>119</v>
      </c>
      <c r="L23" s="11" t="s">
        <v>179</v>
      </c>
    </row>
    <row r="24" spans="1:12" ht="60" customHeight="1" x14ac:dyDescent="0.3">
      <c r="A24" s="8" t="s">
        <v>180</v>
      </c>
      <c r="B24" s="8" t="s">
        <v>181</v>
      </c>
      <c r="C24" s="8" t="s">
        <v>182</v>
      </c>
      <c r="D24" s="8" t="s">
        <v>183</v>
      </c>
      <c r="E24" s="8" t="s">
        <v>184</v>
      </c>
      <c r="F24" s="9" t="s">
        <v>47</v>
      </c>
      <c r="G24" s="8" t="s">
        <v>185</v>
      </c>
      <c r="H24" s="8" t="s">
        <v>186</v>
      </c>
      <c r="I24" s="8" t="s">
        <v>134</v>
      </c>
      <c r="J24" s="8" t="s">
        <v>187</v>
      </c>
      <c r="K24" s="17" t="s">
        <v>142</v>
      </c>
      <c r="L24" s="11" t="s">
        <v>188</v>
      </c>
    </row>
    <row r="25" spans="1:12" ht="60" customHeight="1" x14ac:dyDescent="0.3">
      <c r="A25" s="8" t="s">
        <v>189</v>
      </c>
      <c r="B25" s="8" t="s">
        <v>181</v>
      </c>
      <c r="C25" s="8" t="s">
        <v>190</v>
      </c>
      <c r="D25" s="8" t="s">
        <v>183</v>
      </c>
      <c r="E25" s="8" t="s">
        <v>184</v>
      </c>
      <c r="F25" s="9" t="s">
        <v>47</v>
      </c>
      <c r="G25" s="8" t="s">
        <v>191</v>
      </c>
      <c r="H25" s="8" t="s">
        <v>192</v>
      </c>
      <c r="I25" s="8" t="s">
        <v>134</v>
      </c>
      <c r="J25" s="8" t="s">
        <v>193</v>
      </c>
      <c r="K25" s="13" t="s">
        <v>51</v>
      </c>
      <c r="L25" s="11" t="s">
        <v>194</v>
      </c>
    </row>
    <row r="26" spans="1:12" ht="60" customHeight="1" x14ac:dyDescent="0.3">
      <c r="A26" s="8" t="s">
        <v>195</v>
      </c>
      <c r="B26" s="8" t="s">
        <v>196</v>
      </c>
      <c r="C26" s="8" t="s">
        <v>197</v>
      </c>
      <c r="D26" s="8" t="s">
        <v>108</v>
      </c>
      <c r="E26" s="8" t="s">
        <v>46</v>
      </c>
      <c r="F26" s="14" t="s">
        <v>70</v>
      </c>
      <c r="G26" s="8" t="s">
        <v>109</v>
      </c>
      <c r="H26" s="8" t="s">
        <v>198</v>
      </c>
      <c r="I26" s="8" t="s">
        <v>199</v>
      </c>
      <c r="J26" s="8" t="s">
        <v>200</v>
      </c>
      <c r="K26" s="10" t="s">
        <v>51</v>
      </c>
      <c r="L26" s="11" t="s">
        <v>201</v>
      </c>
    </row>
    <row r="27" spans="1:12" ht="60" customHeight="1" x14ac:dyDescent="0.3">
      <c r="A27" s="8" t="s">
        <v>202</v>
      </c>
      <c r="B27" s="8" t="s">
        <v>196</v>
      </c>
      <c r="C27" s="8" t="s">
        <v>203</v>
      </c>
      <c r="D27" s="8" t="s">
        <v>83</v>
      </c>
      <c r="E27" s="8" t="s">
        <v>46</v>
      </c>
      <c r="F27" s="14" t="s">
        <v>70</v>
      </c>
      <c r="G27" s="8" t="s">
        <v>109</v>
      </c>
      <c r="H27" s="8" t="s">
        <v>204</v>
      </c>
      <c r="I27" s="8" t="s">
        <v>134</v>
      </c>
      <c r="J27" s="8" t="s">
        <v>205</v>
      </c>
      <c r="K27" s="10" t="s">
        <v>51</v>
      </c>
      <c r="L27" s="11" t="s">
        <v>206</v>
      </c>
    </row>
    <row r="28" spans="1:12" ht="60" customHeight="1" x14ac:dyDescent="0.3">
      <c r="A28" s="8" t="s">
        <v>207</v>
      </c>
      <c r="B28" s="8" t="s">
        <v>208</v>
      </c>
      <c r="C28" s="8" t="s">
        <v>209</v>
      </c>
      <c r="D28" s="8" t="s">
        <v>108</v>
      </c>
      <c r="E28" s="8" t="s">
        <v>46</v>
      </c>
      <c r="F28" s="14" t="s">
        <v>70</v>
      </c>
      <c r="G28" s="8" t="s">
        <v>210</v>
      </c>
      <c r="H28" s="8" t="s">
        <v>211</v>
      </c>
      <c r="I28" s="8" t="s">
        <v>134</v>
      </c>
      <c r="J28" s="8" t="s">
        <v>212</v>
      </c>
      <c r="K28" s="10" t="s">
        <v>51</v>
      </c>
      <c r="L28" s="11" t="s">
        <v>213</v>
      </c>
    </row>
    <row r="29" spans="1:12" ht="60" customHeight="1" x14ac:dyDescent="0.3">
      <c r="A29" s="8" t="s">
        <v>214</v>
      </c>
      <c r="B29" s="8" t="s">
        <v>208</v>
      </c>
      <c r="C29" s="8" t="s">
        <v>215</v>
      </c>
      <c r="D29" s="8" t="s">
        <v>83</v>
      </c>
      <c r="E29" s="8" t="s">
        <v>46</v>
      </c>
      <c r="F29" s="15" t="s">
        <v>84</v>
      </c>
      <c r="G29" s="8" t="s">
        <v>216</v>
      </c>
      <c r="H29" s="8" t="s">
        <v>211</v>
      </c>
      <c r="I29" s="8" t="s">
        <v>134</v>
      </c>
      <c r="J29" s="8" t="s">
        <v>217</v>
      </c>
      <c r="K29" s="16" t="s">
        <v>119</v>
      </c>
      <c r="L29" s="11" t="s">
        <v>218</v>
      </c>
    </row>
    <row r="30" spans="1:12" ht="60" customHeight="1" x14ac:dyDescent="0.3">
      <c r="A30" s="8" t="s">
        <v>219</v>
      </c>
      <c r="B30" s="8" t="s">
        <v>220</v>
      </c>
      <c r="C30" s="8" t="s">
        <v>221</v>
      </c>
      <c r="D30" s="8" t="s">
        <v>108</v>
      </c>
      <c r="E30" s="8" t="s">
        <v>46</v>
      </c>
      <c r="F30" s="15" t="s">
        <v>84</v>
      </c>
      <c r="G30" s="8" t="s">
        <v>109</v>
      </c>
      <c r="H30" s="8" t="s">
        <v>222</v>
      </c>
      <c r="I30" s="8" t="s">
        <v>134</v>
      </c>
      <c r="J30" s="8" t="s">
        <v>223</v>
      </c>
      <c r="K30" s="13" t="s">
        <v>51</v>
      </c>
      <c r="L30" s="11" t="s">
        <v>224</v>
      </c>
    </row>
    <row r="31" spans="1:12" ht="60" customHeight="1" x14ac:dyDescent="0.3">
      <c r="A31" s="8" t="s">
        <v>225</v>
      </c>
      <c r="B31" s="8" t="s">
        <v>220</v>
      </c>
      <c r="C31" s="8" t="s">
        <v>226</v>
      </c>
      <c r="D31" s="8" t="s">
        <v>227</v>
      </c>
      <c r="E31" s="8" t="s">
        <v>46</v>
      </c>
      <c r="F31" s="15" t="s">
        <v>84</v>
      </c>
      <c r="G31" s="8" t="s">
        <v>228</v>
      </c>
      <c r="H31" s="8" t="s">
        <v>229</v>
      </c>
      <c r="I31" s="8" t="s">
        <v>134</v>
      </c>
      <c r="J31" s="8" t="s">
        <v>230</v>
      </c>
      <c r="K31" s="13" t="s">
        <v>51</v>
      </c>
      <c r="L31" s="11" t="s">
        <v>231</v>
      </c>
    </row>
    <row r="32" spans="1:12" ht="60" customHeight="1" x14ac:dyDescent="0.3">
      <c r="A32" s="8" t="s">
        <v>232</v>
      </c>
      <c r="B32" s="8" t="s">
        <v>220</v>
      </c>
      <c r="C32" s="8" t="s">
        <v>233</v>
      </c>
      <c r="D32" s="8" t="s">
        <v>227</v>
      </c>
      <c r="E32" s="8" t="s">
        <v>46</v>
      </c>
      <c r="F32" s="9" t="s">
        <v>234</v>
      </c>
      <c r="G32" s="8" t="s">
        <v>235</v>
      </c>
      <c r="H32" s="8" t="s">
        <v>236</v>
      </c>
      <c r="I32" s="8" t="s">
        <v>134</v>
      </c>
      <c r="J32" s="8" t="s">
        <v>237</v>
      </c>
      <c r="K32" s="17" t="s">
        <v>142</v>
      </c>
      <c r="L32" s="11" t="s">
        <v>238</v>
      </c>
    </row>
    <row r="33" spans="1:12" ht="60" customHeight="1" x14ac:dyDescent="0.3">
      <c r="A33" s="8" t="s">
        <v>239</v>
      </c>
      <c r="B33" s="8" t="s">
        <v>240</v>
      </c>
      <c r="C33" s="8" t="s">
        <v>241</v>
      </c>
      <c r="D33" s="8" t="s">
        <v>108</v>
      </c>
      <c r="E33" s="8" t="s">
        <v>46</v>
      </c>
      <c r="F33" s="9" t="s">
        <v>47</v>
      </c>
      <c r="G33" s="8" t="s">
        <v>242</v>
      </c>
      <c r="H33" s="8" t="s">
        <v>243</v>
      </c>
      <c r="I33" s="8" t="s">
        <v>134</v>
      </c>
      <c r="J33" s="8" t="s">
        <v>244</v>
      </c>
      <c r="K33" s="13" t="s">
        <v>51</v>
      </c>
      <c r="L33" s="11" t="s">
        <v>245</v>
      </c>
    </row>
    <row r="34" spans="1:12" ht="60" customHeight="1" x14ac:dyDescent="0.3">
      <c r="A34" s="8" t="s">
        <v>246</v>
      </c>
      <c r="B34" s="8" t="s">
        <v>240</v>
      </c>
      <c r="C34" s="8" t="s">
        <v>247</v>
      </c>
      <c r="D34" s="8" t="s">
        <v>159</v>
      </c>
      <c r="E34" s="8" t="s">
        <v>184</v>
      </c>
      <c r="F34" s="9" t="s">
        <v>47</v>
      </c>
      <c r="G34" s="8" t="s">
        <v>134</v>
      </c>
      <c r="H34" s="8" t="s">
        <v>248</v>
      </c>
      <c r="I34" s="8" t="s">
        <v>134</v>
      </c>
      <c r="J34" s="12" t="s">
        <v>249</v>
      </c>
      <c r="K34" s="13" t="s">
        <v>51</v>
      </c>
      <c r="L34" s="11" t="s">
        <v>250</v>
      </c>
    </row>
    <row r="35" spans="1:12" ht="60" customHeight="1" x14ac:dyDescent="0.3">
      <c r="A35" s="8" t="s">
        <v>251</v>
      </c>
      <c r="B35" s="8" t="s">
        <v>252</v>
      </c>
      <c r="C35" s="8" t="s">
        <v>253</v>
      </c>
      <c r="D35" s="8" t="s">
        <v>124</v>
      </c>
      <c r="E35" s="8" t="s">
        <v>46</v>
      </c>
      <c r="F35" s="14" t="s">
        <v>70</v>
      </c>
      <c r="G35" s="8" t="s">
        <v>254</v>
      </c>
      <c r="H35" s="8" t="s">
        <v>255</v>
      </c>
      <c r="I35" s="8" t="s">
        <v>134</v>
      </c>
      <c r="J35" s="8" t="s">
        <v>256</v>
      </c>
      <c r="K35" s="16" t="s">
        <v>119</v>
      </c>
      <c r="L35" s="11" t="s">
        <v>257</v>
      </c>
    </row>
    <row r="36" spans="1:12" ht="60" customHeight="1" x14ac:dyDescent="0.3">
      <c r="A36" s="8" t="s">
        <v>258</v>
      </c>
      <c r="B36" s="8" t="s">
        <v>252</v>
      </c>
      <c r="C36" s="8" t="s">
        <v>259</v>
      </c>
      <c r="D36" s="8" t="s">
        <v>124</v>
      </c>
      <c r="E36" s="8" t="s">
        <v>46</v>
      </c>
      <c r="F36" s="14" t="s">
        <v>70</v>
      </c>
      <c r="G36" s="8" t="s">
        <v>260</v>
      </c>
      <c r="H36" s="8" t="s">
        <v>261</v>
      </c>
      <c r="I36" s="8" t="s">
        <v>134</v>
      </c>
      <c r="J36" s="8" t="s">
        <v>262</v>
      </c>
      <c r="K36" s="16" t="s">
        <v>119</v>
      </c>
      <c r="L36" s="11" t="s">
        <v>263</v>
      </c>
    </row>
    <row r="37" spans="1:12" ht="60" customHeight="1" x14ac:dyDescent="0.3">
      <c r="A37" s="8" t="s">
        <v>264</v>
      </c>
      <c r="B37" s="8" t="s">
        <v>252</v>
      </c>
      <c r="C37" s="8" t="s">
        <v>265</v>
      </c>
      <c r="D37" s="8" t="s">
        <v>124</v>
      </c>
      <c r="E37" s="8" t="s">
        <v>46</v>
      </c>
      <c r="F37" s="14" t="s">
        <v>70</v>
      </c>
      <c r="G37" s="8" t="s">
        <v>260</v>
      </c>
      <c r="H37" s="8" t="s">
        <v>266</v>
      </c>
      <c r="I37" s="8" t="s">
        <v>134</v>
      </c>
      <c r="J37" s="8" t="s">
        <v>267</v>
      </c>
      <c r="K37" s="16" t="s">
        <v>119</v>
      </c>
      <c r="L37" s="11" t="s">
        <v>268</v>
      </c>
    </row>
    <row r="38" spans="1:12" ht="60" customHeight="1" x14ac:dyDescent="0.3">
      <c r="A38" s="8" t="s">
        <v>269</v>
      </c>
      <c r="B38" s="8" t="s">
        <v>252</v>
      </c>
      <c r="C38" s="8" t="s">
        <v>270</v>
      </c>
      <c r="D38" s="8" t="s">
        <v>83</v>
      </c>
      <c r="E38" s="8" t="s">
        <v>46</v>
      </c>
      <c r="F38" s="15" t="s">
        <v>84</v>
      </c>
      <c r="G38" s="8" t="s">
        <v>254</v>
      </c>
      <c r="H38" s="8" t="s">
        <v>271</v>
      </c>
      <c r="I38" s="8" t="s">
        <v>272</v>
      </c>
      <c r="J38" s="8" t="s">
        <v>273</v>
      </c>
      <c r="K38" s="16" t="s">
        <v>119</v>
      </c>
      <c r="L38" s="11" t="s">
        <v>274</v>
      </c>
    </row>
    <row r="39" spans="1:12" ht="60" customHeight="1" x14ac:dyDescent="0.3">
      <c r="A39" s="8" t="s">
        <v>275</v>
      </c>
      <c r="B39" s="8" t="s">
        <v>240</v>
      </c>
      <c r="C39" s="8" t="s">
        <v>276</v>
      </c>
      <c r="D39" s="8" t="s">
        <v>277</v>
      </c>
      <c r="E39" s="8" t="s">
        <v>46</v>
      </c>
      <c r="F39" s="15" t="s">
        <v>84</v>
      </c>
      <c r="G39" s="8" t="s">
        <v>254</v>
      </c>
      <c r="H39" s="8" t="s">
        <v>278</v>
      </c>
      <c r="I39" s="8" t="s">
        <v>134</v>
      </c>
      <c r="J39" s="8" t="s">
        <v>279</v>
      </c>
      <c r="K39" s="13" t="s">
        <v>51</v>
      </c>
    </row>
    <row r="40" spans="1:12" ht="60" customHeight="1" x14ac:dyDescent="0.3">
      <c r="A40" s="8" t="s">
        <v>280</v>
      </c>
      <c r="B40" s="8" t="s">
        <v>281</v>
      </c>
      <c r="C40" s="8" t="s">
        <v>282</v>
      </c>
      <c r="D40" s="8" t="s">
        <v>283</v>
      </c>
      <c r="E40" s="8" t="s">
        <v>284</v>
      </c>
      <c r="F40" s="9" t="s">
        <v>47</v>
      </c>
      <c r="G40" s="8" t="s">
        <v>285</v>
      </c>
      <c r="H40" s="8" t="s">
        <v>286</v>
      </c>
      <c r="I40" s="8" t="s">
        <v>134</v>
      </c>
      <c r="J40" s="8" t="s">
        <v>287</v>
      </c>
      <c r="K40" s="13" t="s">
        <v>51</v>
      </c>
      <c r="L40" s="11" t="s">
        <v>288</v>
      </c>
    </row>
    <row r="41" spans="1:12" ht="60" customHeight="1" x14ac:dyDescent="0.3">
      <c r="A41" s="8" t="s">
        <v>289</v>
      </c>
      <c r="B41" s="8" t="s">
        <v>281</v>
      </c>
      <c r="C41" s="8" t="s">
        <v>290</v>
      </c>
      <c r="D41" s="8" t="s">
        <v>108</v>
      </c>
      <c r="E41" s="8" t="s">
        <v>291</v>
      </c>
      <c r="F41" s="14" t="s">
        <v>70</v>
      </c>
      <c r="G41" s="8" t="s">
        <v>254</v>
      </c>
      <c r="H41" s="8" t="s">
        <v>292</v>
      </c>
      <c r="I41" s="8" t="s">
        <v>134</v>
      </c>
      <c r="J41" s="8" t="s">
        <v>293</v>
      </c>
      <c r="K41" s="13" t="s">
        <v>51</v>
      </c>
    </row>
    <row r="42" spans="1:12" ht="60" customHeight="1" x14ac:dyDescent="0.3">
      <c r="A42" s="8" t="s">
        <v>294</v>
      </c>
      <c r="B42" s="8" t="s">
        <v>295</v>
      </c>
      <c r="C42" s="8" t="s">
        <v>296</v>
      </c>
      <c r="D42" s="8" t="s">
        <v>297</v>
      </c>
      <c r="E42" s="8" t="s">
        <v>291</v>
      </c>
      <c r="F42" s="15" t="s">
        <v>84</v>
      </c>
      <c r="G42" s="8" t="s">
        <v>134</v>
      </c>
      <c r="H42" s="8" t="s">
        <v>298</v>
      </c>
      <c r="I42" s="8" t="s">
        <v>134</v>
      </c>
      <c r="J42" s="8" t="s">
        <v>299</v>
      </c>
      <c r="K42" s="13" t="s">
        <v>51</v>
      </c>
    </row>
    <row r="43" spans="1:12" ht="60" customHeight="1" x14ac:dyDescent="0.3">
      <c r="A43" s="8" t="s">
        <v>300</v>
      </c>
      <c r="B43" s="8" t="s">
        <v>301</v>
      </c>
      <c r="C43" s="8" t="s">
        <v>302</v>
      </c>
      <c r="D43" s="8" t="s">
        <v>303</v>
      </c>
      <c r="E43" s="8" t="s">
        <v>284</v>
      </c>
      <c r="F43" s="9" t="s">
        <v>47</v>
      </c>
      <c r="G43" s="8" t="s">
        <v>134</v>
      </c>
      <c r="H43" s="8" t="s">
        <v>304</v>
      </c>
      <c r="I43" s="8" t="s">
        <v>134</v>
      </c>
      <c r="J43" s="8" t="s">
        <v>305</v>
      </c>
      <c r="K43" s="13" t="s">
        <v>51</v>
      </c>
    </row>
    <row r="44" spans="1:12" ht="60" customHeight="1" x14ac:dyDescent="0.3">
      <c r="A44" s="8" t="s">
        <v>306</v>
      </c>
      <c r="B44" s="8" t="s">
        <v>301</v>
      </c>
      <c r="C44" s="8" t="s">
        <v>307</v>
      </c>
      <c r="D44" s="8" t="s">
        <v>308</v>
      </c>
      <c r="E44" s="8" t="s">
        <v>291</v>
      </c>
      <c r="F44" s="15" t="s">
        <v>84</v>
      </c>
      <c r="G44" s="8" t="s">
        <v>134</v>
      </c>
      <c r="H44" s="8" t="s">
        <v>309</v>
      </c>
      <c r="J44" s="8" t="s">
        <v>310</v>
      </c>
      <c r="K44" s="16" t="s">
        <v>119</v>
      </c>
      <c r="L44" s="11" t="s">
        <v>311</v>
      </c>
    </row>
    <row r="45" spans="1:12" ht="94.5" customHeight="1" x14ac:dyDescent="0.3">
      <c r="A45" s="8" t="s">
        <v>312</v>
      </c>
      <c r="B45" s="8" t="s">
        <v>151</v>
      </c>
      <c r="C45" s="8" t="s">
        <v>313</v>
      </c>
      <c r="D45" s="8" t="s">
        <v>314</v>
      </c>
      <c r="E45" s="8" t="s">
        <v>46</v>
      </c>
      <c r="F45" s="14" t="s">
        <v>70</v>
      </c>
      <c r="G45" s="8" t="s">
        <v>315</v>
      </c>
      <c r="H45" s="8" t="s">
        <v>316</v>
      </c>
      <c r="I45" s="8" t="s">
        <v>317</v>
      </c>
      <c r="J45" s="8" t="s">
        <v>318</v>
      </c>
      <c r="K45" s="19" t="s">
        <v>51</v>
      </c>
      <c r="L45" s="8" t="s">
        <v>319</v>
      </c>
    </row>
    <row r="46" spans="1:12" ht="94.5" customHeight="1" x14ac:dyDescent="0.3">
      <c r="A46" s="8" t="s">
        <v>320</v>
      </c>
      <c r="B46" s="8" t="s">
        <v>321</v>
      </c>
      <c r="C46" s="8" t="s">
        <v>322</v>
      </c>
      <c r="D46" s="8" t="s">
        <v>323</v>
      </c>
      <c r="E46" s="8" t="s">
        <v>46</v>
      </c>
      <c r="F46" s="14" t="s">
        <v>70</v>
      </c>
      <c r="G46" s="8" t="s">
        <v>324</v>
      </c>
      <c r="H46" s="8" t="s">
        <v>325</v>
      </c>
      <c r="I46" s="8" t="s">
        <v>326</v>
      </c>
      <c r="J46" s="8" t="s">
        <v>327</v>
      </c>
      <c r="K46" s="19" t="s">
        <v>51</v>
      </c>
      <c r="L46" s="8" t="s">
        <v>328</v>
      </c>
    </row>
    <row r="47" spans="1:12" ht="94.5" customHeight="1" x14ac:dyDescent="0.3">
      <c r="A47" s="8" t="s">
        <v>329</v>
      </c>
      <c r="B47" s="8" t="s">
        <v>151</v>
      </c>
      <c r="C47" s="8" t="s">
        <v>330</v>
      </c>
      <c r="D47" s="8" t="s">
        <v>331</v>
      </c>
      <c r="E47" s="8" t="s">
        <v>46</v>
      </c>
      <c r="F47" s="15" t="s">
        <v>84</v>
      </c>
      <c r="G47" s="8" t="s">
        <v>254</v>
      </c>
      <c r="H47" s="8" t="s">
        <v>332</v>
      </c>
      <c r="I47" s="8" t="s">
        <v>333</v>
      </c>
      <c r="J47" s="8" t="s">
        <v>334</v>
      </c>
      <c r="K47" s="19" t="s">
        <v>335</v>
      </c>
      <c r="L47" s="8" t="s">
        <v>336</v>
      </c>
    </row>
  </sheetData>
  <autoFilter ref="A5:L4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1" customWidth="1"/>
    <col min="4" max="4" width="20" customWidth="1"/>
    <col min="5" max="5" width="12" customWidth="1"/>
    <col min="6" max="6" width="18" customWidth="1"/>
    <col min="7" max="7" width="50" customWidth="1"/>
    <col min="8" max="9" width="12" customWidth="1"/>
  </cols>
  <sheetData>
    <row r="1" spans="1:9" ht="18" customHeight="1" x14ac:dyDescent="0.3">
      <c r="A1" s="1" t="s">
        <v>337</v>
      </c>
    </row>
    <row r="2" spans="1:9" x14ac:dyDescent="0.3">
      <c r="A2" s="2" t="s">
        <v>338</v>
      </c>
    </row>
    <row r="4" spans="1:9" ht="25.5" customHeight="1" x14ac:dyDescent="0.3">
      <c r="A4" s="3" t="s">
        <v>28</v>
      </c>
      <c r="B4" s="3" t="s">
        <v>339</v>
      </c>
      <c r="C4" s="3" t="s">
        <v>340</v>
      </c>
      <c r="D4" s="3" t="s">
        <v>341</v>
      </c>
      <c r="E4" s="3" t="s">
        <v>342</v>
      </c>
      <c r="F4" s="3" t="s">
        <v>343</v>
      </c>
      <c r="G4" s="3" t="s">
        <v>344</v>
      </c>
      <c r="H4" s="3" t="s">
        <v>30</v>
      </c>
      <c r="I4" s="3" t="s">
        <v>345</v>
      </c>
    </row>
    <row r="5" spans="1:9" ht="90" customHeight="1" x14ac:dyDescent="0.3">
      <c r="A5" s="8" t="s">
        <v>346</v>
      </c>
      <c r="B5" s="8" t="s">
        <v>347</v>
      </c>
      <c r="C5" s="9" t="s">
        <v>348</v>
      </c>
      <c r="D5" s="8" t="s">
        <v>349</v>
      </c>
      <c r="E5" s="8" t="s">
        <v>134</v>
      </c>
      <c r="F5" s="8" t="s">
        <v>350</v>
      </c>
      <c r="G5" s="8" t="s">
        <v>351</v>
      </c>
      <c r="H5" s="8" t="s">
        <v>352</v>
      </c>
      <c r="I5" s="8" t="s">
        <v>353</v>
      </c>
    </row>
    <row r="6" spans="1:9" ht="90" customHeight="1" x14ac:dyDescent="0.3">
      <c r="A6" s="8" t="s">
        <v>354</v>
      </c>
      <c r="B6" s="8" t="s">
        <v>355</v>
      </c>
      <c r="C6" s="14" t="s">
        <v>70</v>
      </c>
      <c r="D6" s="8" t="s">
        <v>356</v>
      </c>
      <c r="E6" s="8" t="s">
        <v>114</v>
      </c>
      <c r="F6" s="8" t="s">
        <v>106</v>
      </c>
      <c r="G6" s="8" t="s">
        <v>357</v>
      </c>
      <c r="H6" s="9" t="s">
        <v>358</v>
      </c>
      <c r="I6" s="8" t="s">
        <v>359</v>
      </c>
    </row>
    <row r="7" spans="1:9" ht="90" customHeight="1" x14ac:dyDescent="0.3">
      <c r="A7" s="8" t="s">
        <v>360</v>
      </c>
      <c r="B7" s="8" t="s">
        <v>361</v>
      </c>
      <c r="C7" s="14" t="s">
        <v>70</v>
      </c>
      <c r="D7" s="8" t="s">
        <v>356</v>
      </c>
      <c r="E7" s="8" t="s">
        <v>121</v>
      </c>
      <c r="F7" s="8" t="s">
        <v>362</v>
      </c>
      <c r="G7" s="8" t="s">
        <v>363</v>
      </c>
      <c r="H7" s="9" t="s">
        <v>358</v>
      </c>
      <c r="I7" s="8" t="s">
        <v>359</v>
      </c>
    </row>
    <row r="8" spans="1:9" ht="90" customHeight="1" x14ac:dyDescent="0.3">
      <c r="A8" s="8" t="s">
        <v>364</v>
      </c>
      <c r="B8" s="8" t="s">
        <v>365</v>
      </c>
      <c r="C8" s="20" t="s">
        <v>70</v>
      </c>
      <c r="D8" s="8" t="s">
        <v>366</v>
      </c>
      <c r="E8" s="8" t="s">
        <v>172</v>
      </c>
      <c r="F8" s="8" t="s">
        <v>173</v>
      </c>
      <c r="G8" s="8" t="s">
        <v>367</v>
      </c>
      <c r="H8" s="9" t="s">
        <v>358</v>
      </c>
      <c r="I8" s="8" t="s">
        <v>368</v>
      </c>
    </row>
    <row r="9" spans="1:9" ht="90" customHeight="1" x14ac:dyDescent="0.3">
      <c r="A9" s="8" t="s">
        <v>369</v>
      </c>
      <c r="B9" s="8" t="s">
        <v>370</v>
      </c>
      <c r="C9" s="20" t="s">
        <v>234</v>
      </c>
      <c r="D9" s="8" t="s">
        <v>371</v>
      </c>
      <c r="E9" s="8" t="s">
        <v>214</v>
      </c>
      <c r="F9" s="8" t="s">
        <v>208</v>
      </c>
      <c r="G9" s="8" t="s">
        <v>372</v>
      </c>
      <c r="H9" s="9" t="s">
        <v>358</v>
      </c>
      <c r="I9" s="8" t="s">
        <v>373</v>
      </c>
    </row>
    <row r="10" spans="1:9" ht="90" customHeight="1" x14ac:dyDescent="0.3">
      <c r="A10" s="8" t="s">
        <v>374</v>
      </c>
      <c r="B10" s="8" t="s">
        <v>375</v>
      </c>
      <c r="C10" s="14" t="s">
        <v>70</v>
      </c>
      <c r="D10" s="8" t="s">
        <v>376</v>
      </c>
      <c r="E10" s="8" t="s">
        <v>251</v>
      </c>
      <c r="F10" s="8" t="s">
        <v>252</v>
      </c>
      <c r="G10" s="8" t="s">
        <v>377</v>
      </c>
      <c r="H10" s="9" t="s">
        <v>358</v>
      </c>
      <c r="I10" s="8" t="s">
        <v>373</v>
      </c>
    </row>
    <row r="11" spans="1:9" ht="90" customHeight="1" x14ac:dyDescent="0.3">
      <c r="A11" s="8" t="s">
        <v>378</v>
      </c>
      <c r="B11" s="8" t="s">
        <v>379</v>
      </c>
      <c r="C11" s="14" t="s">
        <v>70</v>
      </c>
      <c r="D11" s="8" t="s">
        <v>376</v>
      </c>
      <c r="E11" s="8" t="s">
        <v>258</v>
      </c>
      <c r="F11" s="8" t="s">
        <v>252</v>
      </c>
      <c r="G11" s="8" t="s">
        <v>380</v>
      </c>
      <c r="H11" s="9" t="s">
        <v>358</v>
      </c>
      <c r="I11" s="8" t="s">
        <v>373</v>
      </c>
    </row>
    <row r="12" spans="1:9" ht="90" customHeight="1" x14ac:dyDescent="0.3">
      <c r="A12" s="8" t="s">
        <v>381</v>
      </c>
      <c r="B12" s="8" t="s">
        <v>382</v>
      </c>
      <c r="C12" s="14" t="s">
        <v>70</v>
      </c>
      <c r="D12" s="8" t="s">
        <v>376</v>
      </c>
      <c r="E12" s="8" t="s">
        <v>264</v>
      </c>
      <c r="F12" s="8" t="s">
        <v>252</v>
      </c>
      <c r="G12" s="8" t="s">
        <v>383</v>
      </c>
      <c r="H12" s="9" t="s">
        <v>358</v>
      </c>
      <c r="I12" s="8" t="s">
        <v>373</v>
      </c>
    </row>
    <row r="13" spans="1:9" ht="90" customHeight="1" x14ac:dyDescent="0.3">
      <c r="A13" s="8" t="s">
        <v>384</v>
      </c>
      <c r="B13" s="8" t="s">
        <v>385</v>
      </c>
      <c r="C13" s="15" t="s">
        <v>386</v>
      </c>
      <c r="D13" s="8" t="s">
        <v>356</v>
      </c>
      <c r="E13" s="8" t="s">
        <v>269</v>
      </c>
      <c r="F13" s="8" t="s">
        <v>252</v>
      </c>
      <c r="G13" s="8" t="s">
        <v>387</v>
      </c>
      <c r="H13" s="9" t="s">
        <v>358</v>
      </c>
      <c r="I13" s="8" t="s">
        <v>373</v>
      </c>
    </row>
    <row r="14" spans="1:9" ht="90" customHeight="1" x14ac:dyDescent="0.3">
      <c r="A14" s="8" t="s">
        <v>388</v>
      </c>
      <c r="B14" s="8" t="s">
        <v>389</v>
      </c>
      <c r="C14" s="20" t="s">
        <v>234</v>
      </c>
      <c r="D14" s="8" t="s">
        <v>390</v>
      </c>
      <c r="E14" s="8" t="s">
        <v>306</v>
      </c>
      <c r="F14" s="8" t="s">
        <v>301</v>
      </c>
      <c r="G14" s="8" t="s">
        <v>391</v>
      </c>
      <c r="H14" s="9" t="s">
        <v>358</v>
      </c>
      <c r="I14" s="8" t="s">
        <v>373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>
      <pane ySplit="4" topLeftCell="A5" activePane="bottomLeft" state="frozen"/>
      <selection pane="bottomLeft" activeCell="I6" sqref="I6"/>
    </sheetView>
  </sheetViews>
  <sheetFormatPr defaultColWidth="8.6640625" defaultRowHeight="14.4" x14ac:dyDescent="0.3"/>
  <cols>
    <col min="1" max="1" width="10" customWidth="1"/>
    <col min="2" max="3" width="34" customWidth="1"/>
    <col min="4" max="4" width="40" customWidth="1"/>
    <col min="5" max="5" width="30" customWidth="1"/>
  </cols>
  <sheetData>
    <row r="1" spans="1:5" ht="18" customHeight="1" x14ac:dyDescent="0.3">
      <c r="A1" s="1" t="s">
        <v>392</v>
      </c>
    </row>
    <row r="2" spans="1:5" x14ac:dyDescent="0.3">
      <c r="A2" s="2" t="s">
        <v>393</v>
      </c>
    </row>
    <row r="4" spans="1:5" x14ac:dyDescent="0.3">
      <c r="A4" s="3" t="s">
        <v>28</v>
      </c>
      <c r="B4" s="3" t="s">
        <v>394</v>
      </c>
      <c r="C4" s="3" t="s">
        <v>395</v>
      </c>
      <c r="D4" s="3" t="s">
        <v>396</v>
      </c>
      <c r="E4" s="3" t="s">
        <v>397</v>
      </c>
    </row>
    <row r="5" spans="1:5" ht="94.5" customHeight="1" x14ac:dyDescent="0.3">
      <c r="A5" s="8" t="s">
        <v>398</v>
      </c>
      <c r="B5" s="8" t="s">
        <v>399</v>
      </c>
      <c r="C5" s="8" t="s">
        <v>400</v>
      </c>
      <c r="D5" s="8" t="s">
        <v>401</v>
      </c>
      <c r="E5" s="8" t="s">
        <v>402</v>
      </c>
    </row>
    <row r="6" spans="1:5" ht="94.5" customHeight="1" x14ac:dyDescent="0.3">
      <c r="A6" s="8" t="s">
        <v>403</v>
      </c>
      <c r="B6" s="8" t="s">
        <v>404</v>
      </c>
      <c r="C6" s="8" t="s">
        <v>405</v>
      </c>
      <c r="D6" s="8" t="s">
        <v>406</v>
      </c>
      <c r="E6" s="8" t="s">
        <v>407</v>
      </c>
    </row>
    <row r="7" spans="1:5" ht="94.5" customHeight="1" x14ac:dyDescent="0.3">
      <c r="A7" s="8" t="s">
        <v>408</v>
      </c>
      <c r="B7" s="8" t="s">
        <v>409</v>
      </c>
      <c r="C7" s="8" t="s">
        <v>410</v>
      </c>
      <c r="D7" s="8" t="s">
        <v>411</v>
      </c>
      <c r="E7" s="8" t="s">
        <v>412</v>
      </c>
    </row>
    <row r="8" spans="1:5" ht="94.5" customHeight="1" x14ac:dyDescent="0.3">
      <c r="A8" s="8" t="s">
        <v>413</v>
      </c>
      <c r="B8" s="8" t="s">
        <v>414</v>
      </c>
      <c r="C8" s="8" t="s">
        <v>415</v>
      </c>
      <c r="D8" s="8" t="s">
        <v>416</v>
      </c>
      <c r="E8" s="8" t="s">
        <v>417</v>
      </c>
    </row>
    <row r="9" spans="1:5" ht="94.5" customHeight="1" x14ac:dyDescent="0.3">
      <c r="A9" s="8" t="s">
        <v>418</v>
      </c>
      <c r="B9" s="8" t="s">
        <v>419</v>
      </c>
      <c r="C9" s="8" t="s">
        <v>420</v>
      </c>
      <c r="D9" s="8" t="s">
        <v>421</v>
      </c>
      <c r="E9" s="8" t="s">
        <v>422</v>
      </c>
    </row>
    <row r="11" spans="1:5" x14ac:dyDescent="0.3">
      <c r="A11" s="6"/>
    </row>
    <row r="12" spans="1:5" ht="60" customHeight="1" x14ac:dyDescent="0.3">
      <c r="A12" s="21"/>
      <c r="B12" s="21"/>
      <c r="C12" s="21"/>
      <c r="D12" s="21"/>
      <c r="E12" s="21"/>
    </row>
  </sheetData>
  <mergeCells count="1"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Casos de Teste</vt:lpstr>
      <vt:lpstr>Defeitos</vt:lpstr>
      <vt:lpstr>Notas de Automacao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Guilherme Santana</cp:lastModifiedBy>
  <cp:revision>0</cp:revision>
  <dcterms:created xsi:type="dcterms:W3CDTF">2026-07-28T03:26:44Z</dcterms:created>
  <dcterms:modified xsi:type="dcterms:W3CDTF">2026-10-20T05:01:47Z</dcterms:modified>
  <dc:language>en-US</dc:language>
</cp:coreProperties>
</file>